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84"/>
  </bookViews>
  <sheets>
    <sheet name="README" sheetId="1" r:id="rId1"/>
    <sheet name="Summary" sheetId="2" r:id="rId2"/>
    <sheet name="Daily_Regression" sheetId="4" r:id="rId3"/>
  </sheets>
  <calcPr calcId="152511"/>
</workbook>
</file>

<file path=xl/calcChain.xml><?xml version="1.0" encoding="utf-8"?>
<calcChain xmlns="http://schemas.openxmlformats.org/spreadsheetml/2006/main">
  <c r="E610" i="4" l="1"/>
  <c r="F610" i="4" s="1"/>
  <c r="E609" i="4"/>
  <c r="E608" i="4"/>
  <c r="E607" i="4"/>
  <c r="E606" i="4"/>
  <c r="E605" i="4"/>
  <c r="E604" i="4"/>
  <c r="F604" i="4" s="1"/>
  <c r="E603" i="4"/>
  <c r="E602" i="4"/>
  <c r="F602" i="4" s="1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F583" i="4" s="1"/>
  <c r="E582" i="4"/>
  <c r="F582" i="4" s="1"/>
  <c r="E581" i="4"/>
  <c r="F581" i="4" s="1"/>
  <c r="E580" i="4"/>
  <c r="E579" i="4"/>
  <c r="E578" i="4"/>
  <c r="F578" i="4" s="1"/>
  <c r="E577" i="4"/>
  <c r="F577" i="4" s="1"/>
  <c r="E576" i="4"/>
  <c r="E575" i="4"/>
  <c r="F575" i="4" s="1"/>
  <c r="E574" i="4"/>
  <c r="E573" i="4"/>
  <c r="F573" i="4" s="1"/>
  <c r="E572" i="4"/>
  <c r="E571" i="4"/>
  <c r="F571" i="4" s="1"/>
  <c r="E570" i="4"/>
  <c r="F570" i="4" s="1"/>
  <c r="E569" i="4"/>
  <c r="F569" i="4" s="1"/>
  <c r="E568" i="4"/>
  <c r="E567" i="4"/>
  <c r="E566" i="4"/>
  <c r="F566" i="4" s="1"/>
  <c r="E565" i="4"/>
  <c r="F565" i="4" s="1"/>
  <c r="E564" i="4"/>
  <c r="E563" i="4"/>
  <c r="F563" i="4" s="1"/>
  <c r="E562" i="4"/>
  <c r="F562" i="4" s="1"/>
  <c r="E561" i="4"/>
  <c r="F561" i="4" s="1"/>
  <c r="E560" i="4"/>
  <c r="E559" i="4"/>
  <c r="F559" i="4" s="1"/>
  <c r="E558" i="4"/>
  <c r="F558" i="4" s="1"/>
  <c r="E557" i="4"/>
  <c r="F557" i="4" s="1"/>
  <c r="E556" i="4"/>
  <c r="E555" i="4"/>
  <c r="E554" i="4"/>
  <c r="F554" i="4" s="1"/>
  <c r="E553" i="4"/>
  <c r="F553" i="4" s="1"/>
  <c r="E552" i="4"/>
  <c r="E551" i="4"/>
  <c r="F551" i="4" s="1"/>
  <c r="E550" i="4"/>
  <c r="F550" i="4" s="1"/>
  <c r="E549" i="4"/>
  <c r="F549" i="4" s="1"/>
  <c r="E548" i="4"/>
  <c r="E547" i="4"/>
  <c r="E546" i="4"/>
  <c r="F546" i="4" s="1"/>
  <c r="E545" i="4"/>
  <c r="F545" i="4" s="1"/>
  <c r="E544" i="4"/>
  <c r="E543" i="4"/>
  <c r="F543" i="4" s="1"/>
  <c r="E542" i="4"/>
  <c r="E541" i="4"/>
  <c r="F541" i="4" s="1"/>
  <c r="E540" i="4"/>
  <c r="E539" i="4"/>
  <c r="F539" i="4" s="1"/>
  <c r="E538" i="4"/>
  <c r="F538" i="4" s="1"/>
  <c r="E537" i="4"/>
  <c r="F537" i="4" s="1"/>
  <c r="E536" i="4"/>
  <c r="E535" i="4"/>
  <c r="F535" i="4" s="1"/>
  <c r="E534" i="4"/>
  <c r="E533" i="4"/>
  <c r="F533" i="4" s="1"/>
  <c r="E532" i="4"/>
  <c r="E531" i="4"/>
  <c r="F531" i="4" s="1"/>
  <c r="E530" i="4"/>
  <c r="F530" i="4" s="1"/>
  <c r="E529" i="4"/>
  <c r="F529" i="4" s="1"/>
  <c r="E528" i="4"/>
  <c r="E527" i="4"/>
  <c r="E526" i="4"/>
  <c r="F526" i="4" s="1"/>
  <c r="E525" i="4"/>
  <c r="E524" i="4"/>
  <c r="E523" i="4"/>
  <c r="E522" i="4"/>
  <c r="F522" i="4" s="1"/>
  <c r="E521" i="4"/>
  <c r="E520" i="4"/>
  <c r="F520" i="4" s="1"/>
  <c r="E519" i="4"/>
  <c r="E518" i="4"/>
  <c r="F518" i="4" s="1"/>
  <c r="E517" i="4"/>
  <c r="E516" i="4"/>
  <c r="E515" i="4"/>
  <c r="E514" i="4"/>
  <c r="E513" i="4"/>
  <c r="E512" i="4"/>
  <c r="F512" i="4" s="1"/>
  <c r="E511" i="4"/>
  <c r="E510" i="4"/>
  <c r="F510" i="4" s="1"/>
  <c r="E509" i="4"/>
  <c r="E508" i="4"/>
  <c r="F508" i="4" s="1"/>
  <c r="E507" i="4"/>
  <c r="E506" i="4"/>
  <c r="F506" i="4" s="1"/>
  <c r="E505" i="4"/>
  <c r="E504" i="4"/>
  <c r="F504" i="4" s="1"/>
  <c r="E503" i="4"/>
  <c r="E502" i="4"/>
  <c r="F502" i="4" s="1"/>
  <c r="E501" i="4"/>
  <c r="E500" i="4"/>
  <c r="E499" i="4"/>
  <c r="E498" i="4"/>
  <c r="E497" i="4"/>
  <c r="F496" i="4"/>
  <c r="E496" i="4"/>
  <c r="E495" i="4"/>
  <c r="E494" i="4"/>
  <c r="F494" i="4" s="1"/>
  <c r="E493" i="4"/>
  <c r="E492" i="4"/>
  <c r="F492" i="4" s="1"/>
  <c r="E491" i="4"/>
  <c r="E490" i="4"/>
  <c r="F490" i="4" s="1"/>
  <c r="E489" i="4"/>
  <c r="E488" i="4"/>
  <c r="E487" i="4"/>
  <c r="E486" i="4"/>
  <c r="E485" i="4"/>
  <c r="E484" i="4"/>
  <c r="E483" i="4"/>
  <c r="E482" i="4"/>
  <c r="F482" i="4" s="1"/>
  <c r="E481" i="4"/>
  <c r="E480" i="4"/>
  <c r="F480" i="4" s="1"/>
  <c r="E479" i="4"/>
  <c r="E478" i="4"/>
  <c r="F478" i="4" s="1"/>
  <c r="E477" i="4"/>
  <c r="E476" i="4"/>
  <c r="F476" i="4" s="1"/>
  <c r="E475" i="4"/>
  <c r="E474" i="4"/>
  <c r="F474" i="4" s="1"/>
  <c r="E473" i="4"/>
  <c r="E472" i="4"/>
  <c r="E471" i="4"/>
  <c r="E470" i="4"/>
  <c r="E469" i="4"/>
  <c r="E468" i="4"/>
  <c r="F468" i="4" s="1"/>
  <c r="E467" i="4"/>
  <c r="E466" i="4"/>
  <c r="F466" i="4" s="1"/>
  <c r="E465" i="4"/>
  <c r="E464" i="4"/>
  <c r="F464" i="4" s="1"/>
  <c r="E463" i="4"/>
  <c r="E462" i="4"/>
  <c r="E461" i="4"/>
  <c r="F461" i="4" s="1"/>
  <c r="E460" i="4"/>
  <c r="E459" i="4"/>
  <c r="E458" i="4"/>
  <c r="F458" i="4" s="1"/>
  <c r="E457" i="4"/>
  <c r="F457" i="4" s="1"/>
  <c r="E456" i="4"/>
  <c r="E455" i="4"/>
  <c r="F455" i="4" s="1"/>
  <c r="F454" i="4"/>
  <c r="E454" i="4"/>
  <c r="E453" i="4"/>
  <c r="F453" i="4" s="1"/>
  <c r="E452" i="4"/>
  <c r="E451" i="4"/>
  <c r="E450" i="4"/>
  <c r="E449" i="4"/>
  <c r="F449" i="4" s="1"/>
  <c r="E448" i="4"/>
  <c r="E447" i="4"/>
  <c r="E446" i="4"/>
  <c r="E445" i="4"/>
  <c r="F445" i="4" s="1"/>
  <c r="E444" i="4"/>
  <c r="E443" i="4"/>
  <c r="F443" i="4" s="1"/>
  <c r="E442" i="4"/>
  <c r="E441" i="4"/>
  <c r="F441" i="4" s="1"/>
  <c r="E440" i="4"/>
  <c r="E439" i="4"/>
  <c r="F439" i="4" s="1"/>
  <c r="E438" i="4"/>
  <c r="E437" i="4"/>
  <c r="E436" i="4"/>
  <c r="E435" i="4"/>
  <c r="F435" i="4" s="1"/>
  <c r="E434" i="4"/>
  <c r="F434" i="4" s="1"/>
  <c r="E433" i="4"/>
  <c r="F433" i="4" s="1"/>
  <c r="E432" i="4"/>
  <c r="F432" i="4" s="1"/>
  <c r="E431" i="4"/>
  <c r="E430" i="4"/>
  <c r="F430" i="4" s="1"/>
  <c r="E429" i="4"/>
  <c r="E428" i="4"/>
  <c r="E427" i="4"/>
  <c r="E426" i="4"/>
  <c r="E425" i="4"/>
  <c r="F425" i="4" s="1"/>
  <c r="E424" i="4"/>
  <c r="E423" i="4"/>
  <c r="F423" i="4" s="1"/>
  <c r="E422" i="4"/>
  <c r="E421" i="4"/>
  <c r="F421" i="4" s="1"/>
  <c r="E420" i="4"/>
  <c r="E419" i="4"/>
  <c r="F419" i="4" s="1"/>
  <c r="E418" i="4"/>
  <c r="E417" i="4"/>
  <c r="F417" i="4" s="1"/>
  <c r="E416" i="4"/>
  <c r="E415" i="4"/>
  <c r="F415" i="4" s="1"/>
  <c r="E414" i="4"/>
  <c r="E413" i="4"/>
  <c r="F413" i="4" s="1"/>
  <c r="E412" i="4"/>
  <c r="E411" i="4"/>
  <c r="F411" i="4" s="1"/>
  <c r="E410" i="4"/>
  <c r="F410" i="4" s="1"/>
  <c r="E409" i="4"/>
  <c r="E408" i="4"/>
  <c r="F408" i="4" s="1"/>
  <c r="E407" i="4"/>
  <c r="E406" i="4"/>
  <c r="F406" i="4" s="1"/>
  <c r="E405" i="4"/>
  <c r="E404" i="4"/>
  <c r="E403" i="4"/>
  <c r="F402" i="4"/>
  <c r="E402" i="4"/>
  <c r="E401" i="4"/>
  <c r="F401" i="4" s="1"/>
  <c r="F400" i="4"/>
  <c r="E400" i="4"/>
  <c r="E399" i="4"/>
  <c r="E398" i="4"/>
  <c r="E397" i="4"/>
  <c r="E396" i="4"/>
  <c r="F396" i="4" s="1"/>
  <c r="E395" i="4"/>
  <c r="E394" i="4"/>
  <c r="F394" i="4" s="1"/>
  <c r="E393" i="4"/>
  <c r="E392" i="4"/>
  <c r="F392" i="4" s="1"/>
  <c r="E391" i="4"/>
  <c r="E390" i="4"/>
  <c r="F390" i="4" s="1"/>
  <c r="E389" i="4"/>
  <c r="E388" i="4"/>
  <c r="E387" i="4"/>
  <c r="E386" i="4"/>
  <c r="F386" i="4" s="1"/>
  <c r="E385" i="4"/>
  <c r="E384" i="4"/>
  <c r="E383" i="4"/>
  <c r="E382" i="4"/>
  <c r="F382" i="4" s="1"/>
  <c r="E381" i="4"/>
  <c r="E380" i="4"/>
  <c r="E379" i="4"/>
  <c r="F378" i="4"/>
  <c r="E378" i="4"/>
  <c r="E377" i="4"/>
  <c r="E376" i="4"/>
  <c r="E375" i="4"/>
  <c r="E374" i="4"/>
  <c r="E373" i="4"/>
  <c r="E372" i="4"/>
  <c r="F372" i="4" s="1"/>
  <c r="E371" i="4"/>
  <c r="E370" i="4"/>
  <c r="E369" i="4"/>
  <c r="F369" i="4" s="1"/>
  <c r="E368" i="4"/>
  <c r="F368" i="4" s="1"/>
  <c r="E367" i="4"/>
  <c r="E366" i="4"/>
  <c r="F366" i="4" s="1"/>
  <c r="E365" i="4"/>
  <c r="E364" i="4"/>
  <c r="E363" i="4"/>
  <c r="E362" i="4"/>
  <c r="E361" i="4"/>
  <c r="E360" i="4"/>
  <c r="F360" i="4" s="1"/>
  <c r="E359" i="4"/>
  <c r="E358" i="4"/>
  <c r="F358" i="4" s="1"/>
  <c r="E357" i="4"/>
  <c r="F357" i="4" s="1"/>
  <c r="E356" i="4"/>
  <c r="F356" i="4" s="1"/>
  <c r="E355" i="4"/>
  <c r="E354" i="4"/>
  <c r="E353" i="4"/>
  <c r="F353" i="4" s="1"/>
  <c r="E352" i="4"/>
  <c r="E351" i="4"/>
  <c r="F351" i="4" s="1"/>
  <c r="E350" i="4"/>
  <c r="E349" i="4"/>
  <c r="F349" i="4" s="1"/>
  <c r="E348" i="4"/>
  <c r="F347" i="4"/>
  <c r="E347" i="4"/>
  <c r="E346" i="4"/>
  <c r="E345" i="4"/>
  <c r="E344" i="4"/>
  <c r="E343" i="4"/>
  <c r="F343" i="4" s="1"/>
  <c r="E342" i="4"/>
  <c r="E341" i="4"/>
  <c r="E340" i="4"/>
  <c r="E339" i="4"/>
  <c r="E338" i="4"/>
  <c r="E337" i="4"/>
  <c r="F337" i="4" s="1"/>
  <c r="E336" i="4"/>
  <c r="E335" i="4"/>
  <c r="F335" i="4" s="1"/>
  <c r="E334" i="4"/>
  <c r="E333" i="4"/>
  <c r="F333" i="4" s="1"/>
  <c r="E332" i="4"/>
  <c r="E331" i="4"/>
  <c r="F331" i="4" s="1"/>
  <c r="E330" i="4"/>
  <c r="F330" i="4" s="1"/>
  <c r="E329" i="4"/>
  <c r="F329" i="4" s="1"/>
  <c r="E328" i="4"/>
  <c r="E327" i="4"/>
  <c r="E326" i="4"/>
  <c r="E325" i="4"/>
  <c r="F325" i="4" s="1"/>
  <c r="E324" i="4"/>
  <c r="E323" i="4"/>
  <c r="F323" i="4" s="1"/>
  <c r="E322" i="4"/>
  <c r="E321" i="4"/>
  <c r="F321" i="4" s="1"/>
  <c r="E320" i="4"/>
  <c r="E319" i="4"/>
  <c r="F319" i="4" s="1"/>
  <c r="E318" i="4"/>
  <c r="E317" i="4"/>
  <c r="F317" i="4" s="1"/>
  <c r="E316" i="4"/>
  <c r="E315" i="4"/>
  <c r="F315" i="4" s="1"/>
  <c r="E314" i="4"/>
  <c r="E313" i="4"/>
  <c r="E312" i="4"/>
  <c r="E311" i="4"/>
  <c r="F311" i="4" s="1"/>
  <c r="E310" i="4"/>
  <c r="E309" i="4"/>
  <c r="E308" i="4"/>
  <c r="E307" i="4"/>
  <c r="E306" i="4"/>
  <c r="E305" i="4"/>
  <c r="F305" i="4" s="1"/>
  <c r="E304" i="4"/>
  <c r="E303" i="4"/>
  <c r="F303" i="4" s="1"/>
  <c r="E302" i="4"/>
  <c r="E301" i="4"/>
  <c r="F301" i="4" s="1"/>
  <c r="E300" i="4"/>
  <c r="E299" i="4"/>
  <c r="F299" i="4" s="1"/>
  <c r="E298" i="4"/>
  <c r="F298" i="4" s="1"/>
  <c r="E297" i="4"/>
  <c r="F297" i="4" s="1"/>
  <c r="E296" i="4"/>
  <c r="E295" i="4"/>
  <c r="E294" i="4"/>
  <c r="E293" i="4"/>
  <c r="F293" i="4" s="1"/>
  <c r="E292" i="4"/>
  <c r="E291" i="4"/>
  <c r="F291" i="4" s="1"/>
  <c r="E290" i="4"/>
  <c r="E289" i="4"/>
  <c r="F289" i="4" s="1"/>
  <c r="E288" i="4"/>
  <c r="E287" i="4"/>
  <c r="F287" i="4" s="1"/>
  <c r="E286" i="4"/>
  <c r="E285" i="4"/>
  <c r="F285" i="4" s="1"/>
  <c r="E284" i="4"/>
  <c r="E283" i="4"/>
  <c r="F283" i="4" s="1"/>
  <c r="E282" i="4"/>
  <c r="E281" i="4"/>
  <c r="E280" i="4"/>
  <c r="E279" i="4"/>
  <c r="F279" i="4" s="1"/>
  <c r="E278" i="4"/>
  <c r="E277" i="4"/>
  <c r="E276" i="4"/>
  <c r="E275" i="4"/>
  <c r="E274" i="4"/>
  <c r="E273" i="4"/>
  <c r="F273" i="4" s="1"/>
  <c r="E272" i="4"/>
  <c r="E271" i="4"/>
  <c r="F271" i="4" s="1"/>
  <c r="E270" i="4"/>
  <c r="E269" i="4"/>
  <c r="F269" i="4" s="1"/>
  <c r="E268" i="4"/>
  <c r="E267" i="4"/>
  <c r="F267" i="4" s="1"/>
  <c r="E266" i="4"/>
  <c r="F266" i="4" s="1"/>
  <c r="E265" i="4"/>
  <c r="F265" i="4" s="1"/>
  <c r="E264" i="4"/>
  <c r="E263" i="4"/>
  <c r="E262" i="4"/>
  <c r="E261" i="4"/>
  <c r="F261" i="4" s="1"/>
  <c r="E260" i="4"/>
  <c r="E259" i="4"/>
  <c r="F259" i="4" s="1"/>
  <c r="E258" i="4"/>
  <c r="F257" i="4"/>
  <c r="E257" i="4"/>
  <c r="E256" i="4"/>
  <c r="E255" i="4"/>
  <c r="F255" i="4" s="1"/>
  <c r="E254" i="4"/>
  <c r="E253" i="4"/>
  <c r="F253" i="4" s="1"/>
  <c r="E252" i="4"/>
  <c r="E251" i="4"/>
  <c r="F251" i="4" s="1"/>
  <c r="E250" i="4"/>
  <c r="E249" i="4"/>
  <c r="E248" i="4"/>
  <c r="E247" i="4"/>
  <c r="F247" i="4" s="1"/>
  <c r="E246" i="4"/>
  <c r="E245" i="4"/>
  <c r="E244" i="4"/>
  <c r="E243" i="4"/>
  <c r="E242" i="4"/>
  <c r="E241" i="4"/>
  <c r="F241" i="4" s="1"/>
  <c r="E240" i="4"/>
  <c r="F240" i="4" s="1"/>
  <c r="E239" i="4"/>
  <c r="E238" i="4"/>
  <c r="E237" i="4"/>
  <c r="E236" i="4"/>
  <c r="F236" i="4" s="1"/>
  <c r="E235" i="4"/>
  <c r="E234" i="4"/>
  <c r="E233" i="4"/>
  <c r="F233" i="4" s="1"/>
  <c r="E232" i="4"/>
  <c r="F232" i="4" s="1"/>
  <c r="E231" i="4"/>
  <c r="E230" i="4"/>
  <c r="E229" i="4"/>
  <c r="F229" i="4" s="1"/>
  <c r="E228" i="4"/>
  <c r="F228" i="4" s="1"/>
  <c r="E227" i="4"/>
  <c r="E226" i="4"/>
  <c r="E225" i="4"/>
  <c r="F225" i="4" s="1"/>
  <c r="E224" i="4"/>
  <c r="F224" i="4" s="1"/>
  <c r="E223" i="4"/>
  <c r="E222" i="4"/>
  <c r="E221" i="4"/>
  <c r="E220" i="4"/>
  <c r="F220" i="4" s="1"/>
  <c r="E219" i="4"/>
  <c r="E218" i="4"/>
  <c r="E217" i="4"/>
  <c r="F217" i="4" s="1"/>
  <c r="E216" i="4"/>
  <c r="F216" i="4" s="1"/>
  <c r="E215" i="4"/>
  <c r="E214" i="4"/>
  <c r="E213" i="4"/>
  <c r="F213" i="4" s="1"/>
  <c r="E212" i="4"/>
  <c r="F212" i="4" s="1"/>
  <c r="E211" i="4"/>
  <c r="E210" i="4"/>
  <c r="E209" i="4"/>
  <c r="F209" i="4" s="1"/>
  <c r="E208" i="4"/>
  <c r="F208" i="4" s="1"/>
  <c r="E207" i="4"/>
  <c r="E206" i="4"/>
  <c r="E205" i="4"/>
  <c r="E204" i="4"/>
  <c r="F204" i="4" s="1"/>
  <c r="E203" i="4"/>
  <c r="E202" i="4"/>
  <c r="E201" i="4"/>
  <c r="F201" i="4" s="1"/>
  <c r="E200" i="4"/>
  <c r="F200" i="4" s="1"/>
  <c r="E199" i="4"/>
  <c r="E198" i="4"/>
  <c r="E197" i="4"/>
  <c r="F197" i="4" s="1"/>
  <c r="E196" i="4"/>
  <c r="F196" i="4" s="1"/>
  <c r="E195" i="4"/>
  <c r="E194" i="4"/>
  <c r="E193" i="4"/>
  <c r="F193" i="4" s="1"/>
  <c r="E192" i="4"/>
  <c r="F192" i="4" s="1"/>
  <c r="E191" i="4"/>
  <c r="E190" i="4"/>
  <c r="E189" i="4"/>
  <c r="E188" i="4"/>
  <c r="F188" i="4" s="1"/>
  <c r="E187" i="4"/>
  <c r="E186" i="4"/>
  <c r="E185" i="4"/>
  <c r="F185" i="4" s="1"/>
  <c r="E184" i="4"/>
  <c r="F184" i="4" s="1"/>
  <c r="E183" i="4"/>
  <c r="E182" i="4"/>
  <c r="F182" i="4" s="1"/>
  <c r="E181" i="4"/>
  <c r="F181" i="4" s="1"/>
  <c r="E180" i="4"/>
  <c r="F180" i="4" s="1"/>
  <c r="E179" i="4"/>
  <c r="E178" i="4"/>
  <c r="F178" i="4" s="1"/>
  <c r="E177" i="4"/>
  <c r="F177" i="4" s="1"/>
  <c r="E176" i="4"/>
  <c r="F176" i="4" s="1"/>
  <c r="E175" i="4"/>
  <c r="E174" i="4"/>
  <c r="F174" i="4" s="1"/>
  <c r="E173" i="4"/>
  <c r="F173" i="4" s="1"/>
  <c r="E172" i="4"/>
  <c r="F172" i="4" s="1"/>
  <c r="E171" i="4"/>
  <c r="E170" i="4"/>
  <c r="F170" i="4" s="1"/>
  <c r="E169" i="4"/>
  <c r="F169" i="4" s="1"/>
  <c r="E168" i="4"/>
  <c r="F168" i="4" s="1"/>
  <c r="E167" i="4"/>
  <c r="E166" i="4"/>
  <c r="F166" i="4" s="1"/>
  <c r="E165" i="4"/>
  <c r="F165" i="4" s="1"/>
  <c r="E164" i="4"/>
  <c r="F164" i="4" s="1"/>
  <c r="E163" i="4"/>
  <c r="E162" i="4"/>
  <c r="F162" i="4" s="1"/>
  <c r="E161" i="4"/>
  <c r="F161" i="4" s="1"/>
  <c r="E160" i="4"/>
  <c r="F160" i="4" s="1"/>
  <c r="E159" i="4"/>
  <c r="E158" i="4"/>
  <c r="F158" i="4" s="1"/>
  <c r="E157" i="4"/>
  <c r="F157" i="4" s="1"/>
  <c r="E156" i="4"/>
  <c r="F156" i="4" s="1"/>
  <c r="E155" i="4"/>
  <c r="E154" i="4"/>
  <c r="F154" i="4" s="1"/>
  <c r="E153" i="4"/>
  <c r="F153" i="4" s="1"/>
  <c r="E152" i="4"/>
  <c r="F152" i="4" s="1"/>
  <c r="E151" i="4"/>
  <c r="E150" i="4"/>
  <c r="F150" i="4" s="1"/>
  <c r="E149" i="4"/>
  <c r="F149" i="4" s="1"/>
  <c r="E148" i="4"/>
  <c r="F148" i="4" s="1"/>
  <c r="E147" i="4"/>
  <c r="E146" i="4"/>
  <c r="F146" i="4" s="1"/>
  <c r="E145" i="4"/>
  <c r="F145" i="4" s="1"/>
  <c r="E144" i="4"/>
  <c r="F144" i="4" s="1"/>
  <c r="E143" i="4"/>
  <c r="E142" i="4"/>
  <c r="F142" i="4" s="1"/>
  <c r="E141" i="4"/>
  <c r="F141" i="4" s="1"/>
  <c r="E140" i="4"/>
  <c r="F140" i="4" s="1"/>
  <c r="E139" i="4"/>
  <c r="E138" i="4"/>
  <c r="F138" i="4" s="1"/>
  <c r="E137" i="4"/>
  <c r="F137" i="4" s="1"/>
  <c r="E136" i="4"/>
  <c r="F136" i="4" s="1"/>
  <c r="E135" i="4"/>
  <c r="E134" i="4"/>
  <c r="F134" i="4" s="1"/>
  <c r="E133" i="4"/>
  <c r="F133" i="4" s="1"/>
  <c r="E132" i="4"/>
  <c r="F132" i="4" s="1"/>
  <c r="E131" i="4"/>
  <c r="E130" i="4"/>
  <c r="F130" i="4" s="1"/>
  <c r="E129" i="4"/>
  <c r="F129" i="4" s="1"/>
  <c r="E128" i="4"/>
  <c r="F128" i="4" s="1"/>
  <c r="E127" i="4"/>
  <c r="E126" i="4"/>
  <c r="F126" i="4" s="1"/>
  <c r="E125" i="4"/>
  <c r="F125" i="4" s="1"/>
  <c r="E124" i="4"/>
  <c r="F124" i="4" s="1"/>
  <c r="E123" i="4"/>
  <c r="E122" i="4"/>
  <c r="F122" i="4" s="1"/>
  <c r="E121" i="4"/>
  <c r="F121" i="4" s="1"/>
  <c r="E120" i="4"/>
  <c r="F120" i="4" s="1"/>
  <c r="E119" i="4"/>
  <c r="E118" i="4"/>
  <c r="F118" i="4" s="1"/>
  <c r="E117" i="4"/>
  <c r="F117" i="4" s="1"/>
  <c r="E116" i="4"/>
  <c r="F116" i="4" s="1"/>
  <c r="E115" i="4"/>
  <c r="E114" i="4"/>
  <c r="F114" i="4" s="1"/>
  <c r="E113" i="4"/>
  <c r="F113" i="4" s="1"/>
  <c r="E112" i="4"/>
  <c r="F112" i="4" s="1"/>
  <c r="E111" i="4"/>
  <c r="E110" i="4"/>
  <c r="F110" i="4" s="1"/>
  <c r="E109" i="4"/>
  <c r="F109" i="4" s="1"/>
  <c r="E108" i="4"/>
  <c r="F108" i="4" s="1"/>
  <c r="E107" i="4"/>
  <c r="E106" i="4"/>
  <c r="F106" i="4" s="1"/>
  <c r="E105" i="4"/>
  <c r="F105" i="4" s="1"/>
  <c r="E104" i="4"/>
  <c r="F104" i="4" s="1"/>
  <c r="E103" i="4"/>
  <c r="E102" i="4"/>
  <c r="F102" i="4" s="1"/>
  <c r="E101" i="4"/>
  <c r="F101" i="4" s="1"/>
  <c r="E100" i="4"/>
  <c r="F100" i="4" s="1"/>
  <c r="E99" i="4"/>
  <c r="E98" i="4"/>
  <c r="F98" i="4" s="1"/>
  <c r="E97" i="4"/>
  <c r="F97" i="4" s="1"/>
  <c r="E96" i="4"/>
  <c r="F96" i="4" s="1"/>
  <c r="E95" i="4"/>
  <c r="E94" i="4"/>
  <c r="F94" i="4" s="1"/>
  <c r="E93" i="4"/>
  <c r="F93" i="4" s="1"/>
  <c r="E92" i="4"/>
  <c r="F92" i="4" s="1"/>
  <c r="E91" i="4"/>
  <c r="E90" i="4"/>
  <c r="F90" i="4" s="1"/>
  <c r="E89" i="4"/>
  <c r="F89" i="4" s="1"/>
  <c r="E88" i="4"/>
  <c r="F88" i="4" s="1"/>
  <c r="E87" i="4"/>
  <c r="E86" i="4"/>
  <c r="F86" i="4" s="1"/>
  <c r="E85" i="4"/>
  <c r="F85" i="4" s="1"/>
  <c r="E84" i="4"/>
  <c r="F84" i="4" s="1"/>
  <c r="E83" i="4"/>
  <c r="E82" i="4"/>
  <c r="F82" i="4" s="1"/>
  <c r="E81" i="4"/>
  <c r="F81" i="4" s="1"/>
  <c r="E80" i="4"/>
  <c r="F80" i="4" s="1"/>
  <c r="E79" i="4"/>
  <c r="E78" i="4"/>
  <c r="F78" i="4" s="1"/>
  <c r="E77" i="4"/>
  <c r="F77" i="4" s="1"/>
  <c r="E76" i="4"/>
  <c r="F76" i="4" s="1"/>
  <c r="E75" i="4"/>
  <c r="E74" i="4"/>
  <c r="F74" i="4" s="1"/>
  <c r="E73" i="4"/>
  <c r="F73" i="4" s="1"/>
  <c r="E72" i="4"/>
  <c r="F72" i="4" s="1"/>
  <c r="E71" i="4"/>
  <c r="E70" i="4"/>
  <c r="F70" i="4" s="1"/>
  <c r="E69" i="4"/>
  <c r="F69" i="4" s="1"/>
  <c r="E68" i="4"/>
  <c r="F68" i="4" s="1"/>
  <c r="E67" i="4"/>
  <c r="E66" i="4"/>
  <c r="F66" i="4" s="1"/>
  <c r="E65" i="4"/>
  <c r="F65" i="4" s="1"/>
  <c r="E64" i="4"/>
  <c r="F64" i="4" s="1"/>
  <c r="E63" i="4"/>
  <c r="E62" i="4"/>
  <c r="F62" i="4" s="1"/>
  <c r="E61" i="4"/>
  <c r="F61" i="4" s="1"/>
  <c r="E60" i="4"/>
  <c r="F60" i="4" s="1"/>
  <c r="E59" i="4"/>
  <c r="E58" i="4"/>
  <c r="F58" i="4" s="1"/>
  <c r="E57" i="4"/>
  <c r="F57" i="4" s="1"/>
  <c r="E56" i="4"/>
  <c r="F56" i="4" s="1"/>
  <c r="E55" i="4"/>
  <c r="E54" i="4"/>
  <c r="F54" i="4" s="1"/>
  <c r="E53" i="4"/>
  <c r="F53" i="4" s="1"/>
  <c r="E52" i="4"/>
  <c r="F52" i="4" s="1"/>
  <c r="E51" i="4"/>
  <c r="E50" i="4"/>
  <c r="F50" i="4" s="1"/>
  <c r="E49" i="4"/>
  <c r="F49" i="4" s="1"/>
  <c r="E48" i="4"/>
  <c r="F48" i="4" s="1"/>
  <c r="E47" i="4"/>
  <c r="E46" i="4"/>
  <c r="F46" i="4" s="1"/>
  <c r="E45" i="4"/>
  <c r="F45" i="4" s="1"/>
  <c r="E44" i="4"/>
  <c r="F44" i="4" s="1"/>
  <c r="E43" i="4"/>
  <c r="E42" i="4"/>
  <c r="F42" i="4" s="1"/>
  <c r="E41" i="4"/>
  <c r="F41" i="4" s="1"/>
  <c r="E40" i="4"/>
  <c r="F40" i="4" s="1"/>
  <c r="E39" i="4"/>
  <c r="E38" i="4"/>
  <c r="F38" i="4" s="1"/>
  <c r="E37" i="4"/>
  <c r="F37" i="4" s="1"/>
  <c r="E36" i="4"/>
  <c r="F36" i="4" s="1"/>
  <c r="E35" i="4"/>
  <c r="E34" i="4"/>
  <c r="F34" i="4" s="1"/>
  <c r="E33" i="4"/>
  <c r="F33" i="4" s="1"/>
  <c r="E32" i="4"/>
  <c r="F32" i="4" s="1"/>
  <c r="E31" i="4"/>
  <c r="E30" i="4"/>
  <c r="F30" i="4" s="1"/>
  <c r="E29" i="4"/>
  <c r="F29" i="4" s="1"/>
  <c r="E28" i="4"/>
  <c r="F28" i="4" s="1"/>
  <c r="E27" i="4"/>
  <c r="E26" i="4"/>
  <c r="F26" i="4" s="1"/>
  <c r="E25" i="4"/>
  <c r="E24" i="4"/>
  <c r="F24" i="4" s="1"/>
  <c r="E23" i="4"/>
  <c r="E22" i="4"/>
  <c r="F22" i="4" s="1"/>
  <c r="E21" i="4"/>
  <c r="E20" i="4"/>
  <c r="F20" i="4" s="1"/>
  <c r="E19" i="4"/>
  <c r="E18" i="4"/>
  <c r="F18" i="4" s="1"/>
  <c r="E17" i="4"/>
  <c r="E16" i="4"/>
  <c r="F16" i="4" s="1"/>
  <c r="E15" i="4"/>
  <c r="E14" i="4"/>
  <c r="F14" i="4" s="1"/>
  <c r="E13" i="4"/>
  <c r="E12" i="4"/>
  <c r="F12" i="4" s="1"/>
  <c r="E11" i="4"/>
  <c r="E10" i="4"/>
  <c r="F10" i="4" s="1"/>
  <c r="E9" i="4"/>
  <c r="E8" i="4"/>
  <c r="F8" i="4" s="1"/>
  <c r="E7" i="4"/>
  <c r="E6" i="4"/>
  <c r="F6" i="4" s="1"/>
  <c r="E5" i="4"/>
  <c r="E4" i="4"/>
  <c r="F4" i="4" s="1"/>
  <c r="E3" i="4"/>
  <c r="F2" i="4"/>
  <c r="E2" i="4"/>
  <c r="F309" i="4" l="1"/>
  <c r="F314" i="4"/>
  <c r="F398" i="4"/>
  <c r="F427" i="4"/>
  <c r="F438" i="4"/>
  <c r="F462" i="4"/>
  <c r="F486" i="4"/>
  <c r="F574" i="4"/>
  <c r="F588" i="4"/>
  <c r="F596" i="4"/>
  <c r="F221" i="4"/>
  <c r="F250" i="4"/>
  <c r="F263" i="4"/>
  <c r="F275" i="4"/>
  <c r="F295" i="4"/>
  <c r="F327" i="4"/>
  <c r="F345" i="4"/>
  <c r="F364" i="4"/>
  <c r="F385" i="4"/>
  <c r="F237" i="4"/>
  <c r="F362" i="4"/>
  <c r="F404" i="4"/>
  <c r="F465" i="4"/>
  <c r="F514" i="4"/>
  <c r="F527" i="4"/>
  <c r="F245" i="4"/>
  <c r="F282" i="4"/>
  <c r="F307" i="4"/>
  <c r="F313" i="4"/>
  <c r="F339" i="4"/>
  <c r="F370" i="4"/>
  <c r="F380" i="4"/>
  <c r="F426" i="4"/>
  <c r="F437" i="4"/>
  <c r="F440" i="4"/>
  <c r="F281" i="4"/>
  <c r="F376" i="4"/>
  <c r="F189" i="4"/>
  <c r="F205" i="4"/>
  <c r="F249" i="4"/>
  <c r="F277" i="4"/>
  <c r="F341" i="4"/>
  <c r="F346" i="4"/>
  <c r="F374" i="4"/>
  <c r="F384" i="4"/>
  <c r="F431" i="4"/>
  <c r="F447" i="4"/>
  <c r="F451" i="4"/>
  <c r="F488" i="4"/>
  <c r="F516" i="4"/>
  <c r="F534" i="4"/>
  <c r="F555" i="4"/>
  <c r="F590" i="4"/>
  <c r="F598" i="4"/>
  <c r="F388" i="4"/>
  <c r="F429" i="4"/>
  <c r="F456" i="4"/>
  <c r="F460" i="4"/>
  <c r="F473" i="4"/>
  <c r="F498" i="4"/>
  <c r="F579" i="4"/>
  <c r="F592" i="4"/>
  <c r="F600" i="4"/>
  <c r="F414" i="4"/>
  <c r="F418" i="4"/>
  <c r="F422" i="4"/>
  <c r="F424" i="4"/>
  <c r="F442" i="4"/>
  <c r="F446" i="4"/>
  <c r="F484" i="4"/>
  <c r="F500" i="4"/>
  <c r="F524" i="4"/>
  <c r="F542" i="4"/>
  <c r="F547" i="4"/>
  <c r="F567" i="4"/>
  <c r="F586" i="4"/>
  <c r="F594" i="4"/>
  <c r="F608" i="4"/>
  <c r="F450" i="4"/>
  <c r="F452" i="4"/>
  <c r="F606" i="4"/>
  <c r="F187" i="4"/>
  <c r="F194" i="4"/>
  <c r="F203" i="4"/>
  <c r="F210" i="4"/>
  <c r="F219" i="4"/>
  <c r="F226" i="4"/>
  <c r="F235" i="4"/>
  <c r="F242" i="4"/>
  <c r="F403" i="4"/>
  <c r="F467" i="4"/>
  <c r="F469" i="4"/>
  <c r="F472" i="4"/>
  <c r="F475" i="4"/>
  <c r="F536" i="4"/>
  <c r="F576" i="4"/>
  <c r="F191" i="4"/>
  <c r="F198" i="4"/>
  <c r="F207" i="4"/>
  <c r="F214" i="4"/>
  <c r="F223" i="4"/>
  <c r="F230" i="4"/>
  <c r="F239" i="4"/>
  <c r="F252" i="4"/>
  <c r="F270" i="4"/>
  <c r="F284" i="4"/>
  <c r="F302" i="4"/>
  <c r="F316" i="4"/>
  <c r="F334" i="4"/>
  <c r="F348" i="4"/>
  <c r="F3" i="4"/>
  <c r="F5" i="4"/>
  <c r="F7" i="4"/>
  <c r="F9" i="4"/>
  <c r="F11" i="4"/>
  <c r="F13" i="4"/>
  <c r="F15" i="4"/>
  <c r="F17" i="4"/>
  <c r="F19" i="4"/>
  <c r="F21" i="4"/>
  <c r="F23" i="4"/>
  <c r="F25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99" i="4"/>
  <c r="F103" i="4"/>
  <c r="F107" i="4"/>
  <c r="F111" i="4"/>
  <c r="F115" i="4"/>
  <c r="F119" i="4"/>
  <c r="F123" i="4"/>
  <c r="F127" i="4"/>
  <c r="F131" i="4"/>
  <c r="F135" i="4"/>
  <c r="F139" i="4"/>
  <c r="F143" i="4"/>
  <c r="F147" i="4"/>
  <c r="F151" i="4"/>
  <c r="F155" i="4"/>
  <c r="F159" i="4"/>
  <c r="F163" i="4"/>
  <c r="F167" i="4"/>
  <c r="F171" i="4"/>
  <c r="F175" i="4"/>
  <c r="F179" i="4"/>
  <c r="F183" i="4"/>
  <c r="F186" i="4"/>
  <c r="F195" i="4"/>
  <c r="F202" i="4"/>
  <c r="F211" i="4"/>
  <c r="F218" i="4"/>
  <c r="F227" i="4"/>
  <c r="F234" i="4"/>
  <c r="F243" i="4"/>
  <c r="F371" i="4"/>
  <c r="F391" i="4"/>
  <c r="F190" i="4"/>
  <c r="F199" i="4"/>
  <c r="F206" i="4"/>
  <c r="F215" i="4"/>
  <c r="F222" i="4"/>
  <c r="F231" i="4"/>
  <c r="F238" i="4"/>
  <c r="F254" i="4"/>
  <c r="F268" i="4"/>
  <c r="F286" i="4"/>
  <c r="F300" i="4"/>
  <c r="F318" i="4"/>
  <c r="F332" i="4"/>
  <c r="F350" i="4"/>
  <c r="F355" i="4"/>
  <c r="F389" i="4"/>
  <c r="F256" i="4"/>
  <c r="F272" i="4"/>
  <c r="F288" i="4"/>
  <c r="F304" i="4"/>
  <c r="F320" i="4"/>
  <c r="F336" i="4"/>
  <c r="F352" i="4"/>
  <c r="F377" i="4"/>
  <c r="F409" i="4"/>
  <c r="F420" i="4"/>
  <c r="F564" i="4"/>
  <c r="F584" i="4"/>
  <c r="F244" i="4"/>
  <c r="F260" i="4"/>
  <c r="F290" i="4"/>
  <c r="F292" i="4"/>
  <c r="F308" i="4"/>
  <c r="F324" i="4"/>
  <c r="F338" i="4"/>
  <c r="F340" i="4"/>
  <c r="F375" i="4"/>
  <c r="F387" i="4"/>
  <c r="F407" i="4"/>
  <c r="F444" i="4"/>
  <c r="F459" i="4"/>
  <c r="F463" i="4"/>
  <c r="F487" i="4"/>
  <c r="F489" i="4"/>
  <c r="F501" i="4"/>
  <c r="F258" i="4"/>
  <c r="F274" i="4"/>
  <c r="F276" i="4"/>
  <c r="F306" i="4"/>
  <c r="F322" i="4"/>
  <c r="F354" i="4"/>
  <c r="F246" i="4"/>
  <c r="F248" i="4"/>
  <c r="F262" i="4"/>
  <c r="F264" i="4"/>
  <c r="F278" i="4"/>
  <c r="F280" i="4"/>
  <c r="F294" i="4"/>
  <c r="F296" i="4"/>
  <c r="F310" i="4"/>
  <c r="F312" i="4"/>
  <c r="F326" i="4"/>
  <c r="F328" i="4"/>
  <c r="F342" i="4"/>
  <c r="F344" i="4"/>
  <c r="F359" i="4"/>
  <c r="F361" i="4"/>
  <c r="F363" i="4"/>
  <c r="F365" i="4"/>
  <c r="F373" i="4"/>
  <c r="F393" i="4"/>
  <c r="F405" i="4"/>
  <c r="F448" i="4"/>
  <c r="F379" i="4"/>
  <c r="F395" i="4"/>
  <c r="F412" i="4"/>
  <c r="F477" i="4"/>
  <c r="F479" i="4"/>
  <c r="F481" i="4"/>
  <c r="F548" i="4"/>
  <c r="F560" i="4"/>
  <c r="F589" i="4"/>
  <c r="F591" i="4"/>
  <c r="F367" i="4"/>
  <c r="F381" i="4"/>
  <c r="F383" i="4"/>
  <c r="F397" i="4"/>
  <c r="F399" i="4"/>
  <c r="F416" i="4"/>
  <c r="F428" i="4"/>
  <c r="F436" i="4"/>
  <c r="F470" i="4"/>
  <c r="F532" i="4"/>
  <c r="F544" i="4"/>
  <c r="F568" i="4"/>
  <c r="F485" i="4"/>
  <c r="F495" i="4"/>
  <c r="F497" i="4"/>
  <c r="F509" i="4"/>
  <c r="F511" i="4"/>
  <c r="F513" i="4"/>
  <c r="F528" i="4"/>
  <c r="F552" i="4"/>
  <c r="F580" i="4"/>
  <c r="F471" i="4"/>
  <c r="F493" i="4"/>
  <c r="F503" i="4"/>
  <c r="F505" i="4"/>
  <c r="F540" i="4"/>
  <c r="F556" i="4"/>
  <c r="F572" i="4"/>
  <c r="F483" i="4"/>
  <c r="F491" i="4"/>
  <c r="F499" i="4"/>
  <c r="F507" i="4"/>
  <c r="F515" i="4"/>
  <c r="F517" i="4"/>
  <c r="F519" i="4"/>
  <c r="F521" i="4"/>
  <c r="F523" i="4"/>
  <c r="F525" i="4"/>
  <c r="F585" i="4"/>
  <c r="F587" i="4"/>
  <c r="F593" i="4"/>
  <c r="F595" i="4"/>
  <c r="F597" i="4"/>
  <c r="F599" i="4"/>
  <c r="F601" i="4"/>
  <c r="F603" i="4"/>
  <c r="F605" i="4"/>
  <c r="F607" i="4"/>
  <c r="F609" i="4"/>
</calcChain>
</file>

<file path=xl/sharedStrings.xml><?xml version="1.0" encoding="utf-8"?>
<sst xmlns="http://schemas.openxmlformats.org/spreadsheetml/2006/main" count="666" uniqueCount="60">
  <si>
    <t>Pakistan Gold Daily Regression Dataset (24K &amp; 22K)</t>
  </si>
  <si>
    <t>Field</t>
  </si>
  <si>
    <t>Details</t>
  </si>
  <si>
    <t>Date range</t>
  </si>
  <si>
    <t>01-Jan-2025 to 01-Sep-2026 (inclusive)</t>
  </si>
  <si>
    <t>Unit</t>
  </si>
  <si>
    <t>PKR per tola</t>
  </si>
  <si>
    <t>Main source</t>
  </si>
  <si>
    <t>https://goldpriceinpakistan.pk</t>
  </si>
  <si>
    <t>Source statement</t>
  </si>
  <si>
    <t>The source website states its rates are sourced from the Sarafa Association of Pakistan and are for informational purposes.</t>
  </si>
  <si>
    <t>Observed_Rates</t>
  </si>
  <si>
    <t>Only dates for which the archive contains a published rate.</t>
  </si>
  <si>
    <t>Daily_Regression</t>
  </si>
  <si>
    <t>All 609 calendar days. Missing archive dates are forward-filled from the most recent observed rate and clearly flagged.</t>
  </si>
  <si>
    <t>ML_Ready_Values</t>
  </si>
  <si>
    <t>Values-only version of the complete daily dataset. Use this sheet directly with pandas/scikit-learn; no Excel formula recalculation is required.</t>
  </si>
  <si>
    <t>24K/22K Daily Change</t>
  </si>
  <si>
    <t>Current calendar-day price minus previous calendar-day price.</t>
  </si>
  <si>
    <t>Increase Only</t>
  </si>
  <si>
    <t>Positive portion of daily change; negative/zero changes become 0.</t>
  </si>
  <si>
    <t>Is_Observed</t>
  </si>
  <si>
    <t>1 = the archive contains a source row for that date; 0 = price was carried forward.</t>
  </si>
  <si>
    <t>Important regression note</t>
  </si>
  <si>
    <t>Forward-filled days create 0 daily change and can affect model behavior. For a model based only on actual published observations, use Observed_Rates.</t>
  </si>
  <si>
    <t>Validation note</t>
  </si>
  <si>
    <t>Historical rates are reproduced from the cited archive as provided. The source identifies them as informational; validate against primary releases if used in academic publication, trading, or financial decisions.</t>
  </si>
  <si>
    <t>Pakistan Gold Price Dataset Summary</t>
  </si>
  <si>
    <t>Date</t>
  </si>
  <si>
    <t>24K</t>
  </si>
  <si>
    <t>22K</t>
  </si>
  <si>
    <t>Metric</t>
  </si>
  <si>
    <t>Value</t>
  </si>
  <si>
    <t>Start date</t>
  </si>
  <si>
    <t>Start 22K (PKR/tola)</t>
  </si>
  <si>
    <t>End date</t>
  </si>
  <si>
    <t>End 22K (PKR/tola)</t>
  </si>
  <si>
    <t>Calendar-day rows</t>
  </si>
  <si>
    <t>24K net change</t>
  </si>
  <si>
    <t>Observed source rows</t>
  </si>
  <si>
    <t>22K net change</t>
  </si>
  <si>
    <t>Forward-filled rows</t>
  </si>
  <si>
    <t>Source</t>
  </si>
  <si>
    <t>goldpriceinpakistan.pk monthly archives</t>
  </si>
  <si>
    <t>Start 24K (PKR/tola)</t>
  </si>
  <si>
    <t>End 24K (PKR/tola)</t>
  </si>
  <si>
    <t>Regression guidance: use ML_Ready_Values for direct Python/scikit-learn import. Use Is_Observed=1 if you want to train only on source-published dates. If you keep all calendar days, remember forward-filled dates intentionally produce zero daily change.</t>
  </si>
  <si>
    <t>Day_of_Week</t>
  </si>
  <si>
    <t>24K_PKR_per_Tola</t>
  </si>
  <si>
    <t>Wednesday</t>
  </si>
  <si>
    <t>Thursday</t>
  </si>
  <si>
    <t>Friday</t>
  </si>
  <si>
    <t>Saturday</t>
  </si>
  <si>
    <t>Monday</t>
  </si>
  <si>
    <t>Tuesday</t>
  </si>
  <si>
    <t>Sunday</t>
  </si>
  <si>
    <t>Day_of_Week_Num</t>
  </si>
  <si>
    <t>24K_Daily_Change_PKR</t>
  </si>
  <si>
    <t>24K_Daily_Change_Pct</t>
  </si>
  <si>
    <t>Fill_Basis_Date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</si>
</sst>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%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horizontal="center" vertical="top" wrapText="1"/>
    </xf>
    <xf numFmtId="0" fontId="3" fillId="4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4" fillId="5" borderId="0" xfId="0" applyNumberFormat="1" applyFont="1" applyFill="1" applyBorder="1" applyAlignment="1">
      <alignment vertical="top" wrapText="1"/>
    </xf>
    <xf numFmtId="0" fontId="5" fillId="5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/>
    <xf numFmtId="3" fontId="0" fillId="0" borderId="0" xfId="0" applyNumberFormat="1" applyFont="1" applyFill="1" applyBorder="1"/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center"/>
    </xf>
    <xf numFmtId="0" fontId="5" fillId="5" borderId="0" xfId="0" applyNumberFormat="1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24K and 22K Gold Price Trend (PKR per Tola)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24K</c:v>
          </c:tx>
          <c:marker>
            <c:symbol val="none"/>
          </c:marker>
          <c:cat>
            <c:numRef>
              <c:f>Summary!$R$2:$R$610</c:f>
              <c:numCache>
                <c:formatCode>yyyy\-mm\-dd</c:formatCode>
                <c:ptCount val="60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  <c:pt idx="396">
                  <c:v>46054</c:v>
                </c:pt>
                <c:pt idx="397">
                  <c:v>46055</c:v>
                </c:pt>
                <c:pt idx="398">
                  <c:v>46056</c:v>
                </c:pt>
                <c:pt idx="399">
                  <c:v>46057</c:v>
                </c:pt>
                <c:pt idx="400">
                  <c:v>46058</c:v>
                </c:pt>
                <c:pt idx="401">
                  <c:v>46059</c:v>
                </c:pt>
                <c:pt idx="402">
                  <c:v>46060</c:v>
                </c:pt>
                <c:pt idx="403">
                  <c:v>46061</c:v>
                </c:pt>
                <c:pt idx="404">
                  <c:v>46062</c:v>
                </c:pt>
                <c:pt idx="405">
                  <c:v>46063</c:v>
                </c:pt>
                <c:pt idx="406">
                  <c:v>46064</c:v>
                </c:pt>
                <c:pt idx="407">
                  <c:v>46065</c:v>
                </c:pt>
                <c:pt idx="408">
                  <c:v>46066</c:v>
                </c:pt>
                <c:pt idx="409">
                  <c:v>46067</c:v>
                </c:pt>
                <c:pt idx="410">
                  <c:v>46068</c:v>
                </c:pt>
                <c:pt idx="411">
                  <c:v>46069</c:v>
                </c:pt>
                <c:pt idx="412">
                  <c:v>46070</c:v>
                </c:pt>
                <c:pt idx="413">
                  <c:v>46071</c:v>
                </c:pt>
                <c:pt idx="414">
                  <c:v>46072</c:v>
                </c:pt>
                <c:pt idx="415">
                  <c:v>46073</c:v>
                </c:pt>
                <c:pt idx="416">
                  <c:v>46074</c:v>
                </c:pt>
                <c:pt idx="417">
                  <c:v>46075</c:v>
                </c:pt>
                <c:pt idx="418">
                  <c:v>46076</c:v>
                </c:pt>
                <c:pt idx="419">
                  <c:v>46077</c:v>
                </c:pt>
                <c:pt idx="420">
                  <c:v>46078</c:v>
                </c:pt>
                <c:pt idx="421">
                  <c:v>46079</c:v>
                </c:pt>
                <c:pt idx="422">
                  <c:v>46080</c:v>
                </c:pt>
                <c:pt idx="423">
                  <c:v>46081</c:v>
                </c:pt>
                <c:pt idx="424">
                  <c:v>46082</c:v>
                </c:pt>
                <c:pt idx="425">
                  <c:v>46083</c:v>
                </c:pt>
                <c:pt idx="426">
                  <c:v>46084</c:v>
                </c:pt>
                <c:pt idx="427">
                  <c:v>46085</c:v>
                </c:pt>
                <c:pt idx="428">
                  <c:v>46086</c:v>
                </c:pt>
                <c:pt idx="429">
                  <c:v>46087</c:v>
                </c:pt>
                <c:pt idx="430">
                  <c:v>46088</c:v>
                </c:pt>
                <c:pt idx="431">
                  <c:v>46089</c:v>
                </c:pt>
                <c:pt idx="432">
                  <c:v>46090</c:v>
                </c:pt>
                <c:pt idx="433">
                  <c:v>46091</c:v>
                </c:pt>
                <c:pt idx="434">
                  <c:v>46092</c:v>
                </c:pt>
                <c:pt idx="435">
                  <c:v>46093</c:v>
                </c:pt>
                <c:pt idx="436">
                  <c:v>46094</c:v>
                </c:pt>
                <c:pt idx="437">
                  <c:v>46095</c:v>
                </c:pt>
                <c:pt idx="438">
                  <c:v>46096</c:v>
                </c:pt>
                <c:pt idx="439">
                  <c:v>46097</c:v>
                </c:pt>
                <c:pt idx="440">
                  <c:v>46098</c:v>
                </c:pt>
                <c:pt idx="441">
                  <c:v>46099</c:v>
                </c:pt>
                <c:pt idx="442">
                  <c:v>46100</c:v>
                </c:pt>
                <c:pt idx="443">
                  <c:v>46101</c:v>
                </c:pt>
                <c:pt idx="444">
                  <c:v>46102</c:v>
                </c:pt>
                <c:pt idx="445">
                  <c:v>46103</c:v>
                </c:pt>
                <c:pt idx="446">
                  <c:v>46104</c:v>
                </c:pt>
                <c:pt idx="447">
                  <c:v>46105</c:v>
                </c:pt>
                <c:pt idx="448">
                  <c:v>46106</c:v>
                </c:pt>
                <c:pt idx="449">
                  <c:v>46107</c:v>
                </c:pt>
                <c:pt idx="450">
                  <c:v>46108</c:v>
                </c:pt>
                <c:pt idx="451">
                  <c:v>46109</c:v>
                </c:pt>
                <c:pt idx="452">
                  <c:v>46110</c:v>
                </c:pt>
                <c:pt idx="453">
                  <c:v>46111</c:v>
                </c:pt>
                <c:pt idx="454">
                  <c:v>46112</c:v>
                </c:pt>
                <c:pt idx="455">
                  <c:v>46113</c:v>
                </c:pt>
                <c:pt idx="456">
                  <c:v>46114</c:v>
                </c:pt>
                <c:pt idx="457">
                  <c:v>46115</c:v>
                </c:pt>
                <c:pt idx="458">
                  <c:v>46116</c:v>
                </c:pt>
                <c:pt idx="459">
                  <c:v>46117</c:v>
                </c:pt>
                <c:pt idx="460">
                  <c:v>46118</c:v>
                </c:pt>
                <c:pt idx="461">
                  <c:v>46119</c:v>
                </c:pt>
                <c:pt idx="462">
                  <c:v>46120</c:v>
                </c:pt>
                <c:pt idx="463">
                  <c:v>46121</c:v>
                </c:pt>
                <c:pt idx="464">
                  <c:v>46122</c:v>
                </c:pt>
                <c:pt idx="465">
                  <c:v>46123</c:v>
                </c:pt>
                <c:pt idx="466">
                  <c:v>46124</c:v>
                </c:pt>
                <c:pt idx="467">
                  <c:v>46125</c:v>
                </c:pt>
                <c:pt idx="468">
                  <c:v>46126</c:v>
                </c:pt>
                <c:pt idx="469">
                  <c:v>46127</c:v>
                </c:pt>
                <c:pt idx="470">
                  <c:v>46128</c:v>
                </c:pt>
                <c:pt idx="471">
                  <c:v>46129</c:v>
                </c:pt>
                <c:pt idx="472">
                  <c:v>46130</c:v>
                </c:pt>
                <c:pt idx="473">
                  <c:v>46131</c:v>
                </c:pt>
                <c:pt idx="474">
                  <c:v>46132</c:v>
                </c:pt>
                <c:pt idx="475">
                  <c:v>46133</c:v>
                </c:pt>
                <c:pt idx="476">
                  <c:v>46134</c:v>
                </c:pt>
                <c:pt idx="477">
                  <c:v>46135</c:v>
                </c:pt>
                <c:pt idx="478">
                  <c:v>46136</c:v>
                </c:pt>
                <c:pt idx="479">
                  <c:v>46137</c:v>
                </c:pt>
                <c:pt idx="480">
                  <c:v>46138</c:v>
                </c:pt>
                <c:pt idx="481">
                  <c:v>46139</c:v>
                </c:pt>
                <c:pt idx="482">
                  <c:v>46140</c:v>
                </c:pt>
                <c:pt idx="483">
                  <c:v>46141</c:v>
                </c:pt>
                <c:pt idx="484">
                  <c:v>46142</c:v>
                </c:pt>
                <c:pt idx="485">
                  <c:v>46143</c:v>
                </c:pt>
                <c:pt idx="486">
                  <c:v>46144</c:v>
                </c:pt>
                <c:pt idx="487">
                  <c:v>46145</c:v>
                </c:pt>
                <c:pt idx="488">
                  <c:v>46146</c:v>
                </c:pt>
                <c:pt idx="489">
                  <c:v>46147</c:v>
                </c:pt>
                <c:pt idx="490">
                  <c:v>46148</c:v>
                </c:pt>
                <c:pt idx="491">
                  <c:v>46149</c:v>
                </c:pt>
                <c:pt idx="492">
                  <c:v>46150</c:v>
                </c:pt>
                <c:pt idx="493">
                  <c:v>46151</c:v>
                </c:pt>
                <c:pt idx="494">
                  <c:v>46152</c:v>
                </c:pt>
                <c:pt idx="495">
                  <c:v>46153</c:v>
                </c:pt>
                <c:pt idx="496">
                  <c:v>46154</c:v>
                </c:pt>
                <c:pt idx="497">
                  <c:v>46155</c:v>
                </c:pt>
                <c:pt idx="498">
                  <c:v>46156</c:v>
                </c:pt>
                <c:pt idx="499">
                  <c:v>46157</c:v>
                </c:pt>
                <c:pt idx="500">
                  <c:v>46158</c:v>
                </c:pt>
                <c:pt idx="501">
                  <c:v>46159</c:v>
                </c:pt>
                <c:pt idx="502">
                  <c:v>46160</c:v>
                </c:pt>
                <c:pt idx="503">
                  <c:v>46161</c:v>
                </c:pt>
                <c:pt idx="504">
                  <c:v>46162</c:v>
                </c:pt>
                <c:pt idx="505">
                  <c:v>46163</c:v>
                </c:pt>
                <c:pt idx="506">
                  <c:v>46164</c:v>
                </c:pt>
                <c:pt idx="507">
                  <c:v>46165</c:v>
                </c:pt>
                <c:pt idx="508">
                  <c:v>46166</c:v>
                </c:pt>
                <c:pt idx="509">
                  <c:v>46167</c:v>
                </c:pt>
                <c:pt idx="510">
                  <c:v>46168</c:v>
                </c:pt>
                <c:pt idx="511">
                  <c:v>46169</c:v>
                </c:pt>
                <c:pt idx="512">
                  <c:v>46170</c:v>
                </c:pt>
                <c:pt idx="513">
                  <c:v>46171</c:v>
                </c:pt>
                <c:pt idx="514">
                  <c:v>46172</c:v>
                </c:pt>
                <c:pt idx="515">
                  <c:v>46173</c:v>
                </c:pt>
                <c:pt idx="516">
                  <c:v>46174</c:v>
                </c:pt>
                <c:pt idx="517">
                  <c:v>46175</c:v>
                </c:pt>
                <c:pt idx="518">
                  <c:v>46176</c:v>
                </c:pt>
                <c:pt idx="519">
                  <c:v>46177</c:v>
                </c:pt>
                <c:pt idx="520">
                  <c:v>46178</c:v>
                </c:pt>
                <c:pt idx="521">
                  <c:v>46179</c:v>
                </c:pt>
                <c:pt idx="522">
                  <c:v>46180</c:v>
                </c:pt>
                <c:pt idx="523">
                  <c:v>46181</c:v>
                </c:pt>
                <c:pt idx="524">
                  <c:v>46182</c:v>
                </c:pt>
                <c:pt idx="525">
                  <c:v>46183</c:v>
                </c:pt>
                <c:pt idx="526">
                  <c:v>46184</c:v>
                </c:pt>
                <c:pt idx="527">
                  <c:v>46185</c:v>
                </c:pt>
                <c:pt idx="528">
                  <c:v>46186</c:v>
                </c:pt>
                <c:pt idx="529">
                  <c:v>46187</c:v>
                </c:pt>
                <c:pt idx="530">
                  <c:v>46188</c:v>
                </c:pt>
                <c:pt idx="531">
                  <c:v>46189</c:v>
                </c:pt>
                <c:pt idx="532">
                  <c:v>46190</c:v>
                </c:pt>
                <c:pt idx="533">
                  <c:v>46191</c:v>
                </c:pt>
                <c:pt idx="534">
                  <c:v>46192</c:v>
                </c:pt>
                <c:pt idx="535">
                  <c:v>46193</c:v>
                </c:pt>
                <c:pt idx="536">
                  <c:v>46194</c:v>
                </c:pt>
                <c:pt idx="537">
                  <c:v>46195</c:v>
                </c:pt>
                <c:pt idx="538">
                  <c:v>46196</c:v>
                </c:pt>
                <c:pt idx="539">
                  <c:v>46197</c:v>
                </c:pt>
                <c:pt idx="540">
                  <c:v>46198</c:v>
                </c:pt>
                <c:pt idx="541">
                  <c:v>46199</c:v>
                </c:pt>
                <c:pt idx="542">
                  <c:v>46200</c:v>
                </c:pt>
                <c:pt idx="543">
                  <c:v>46201</c:v>
                </c:pt>
                <c:pt idx="544">
                  <c:v>46202</c:v>
                </c:pt>
                <c:pt idx="545">
                  <c:v>46203</c:v>
                </c:pt>
                <c:pt idx="546">
                  <c:v>46204</c:v>
                </c:pt>
                <c:pt idx="547">
                  <c:v>46205</c:v>
                </c:pt>
                <c:pt idx="548">
                  <c:v>46206</c:v>
                </c:pt>
                <c:pt idx="549">
                  <c:v>46207</c:v>
                </c:pt>
                <c:pt idx="550">
                  <c:v>46208</c:v>
                </c:pt>
                <c:pt idx="551">
                  <c:v>46209</c:v>
                </c:pt>
                <c:pt idx="552">
                  <c:v>46210</c:v>
                </c:pt>
                <c:pt idx="553">
                  <c:v>46211</c:v>
                </c:pt>
                <c:pt idx="554">
                  <c:v>46212</c:v>
                </c:pt>
                <c:pt idx="555">
                  <c:v>46213</c:v>
                </c:pt>
                <c:pt idx="556">
                  <c:v>46214</c:v>
                </c:pt>
                <c:pt idx="557">
                  <c:v>46215</c:v>
                </c:pt>
                <c:pt idx="558">
                  <c:v>46216</c:v>
                </c:pt>
                <c:pt idx="559">
                  <c:v>46217</c:v>
                </c:pt>
                <c:pt idx="560">
                  <c:v>46218</c:v>
                </c:pt>
                <c:pt idx="561">
                  <c:v>46219</c:v>
                </c:pt>
                <c:pt idx="562">
                  <c:v>46220</c:v>
                </c:pt>
                <c:pt idx="563">
                  <c:v>46221</c:v>
                </c:pt>
                <c:pt idx="564">
                  <c:v>46222</c:v>
                </c:pt>
                <c:pt idx="565">
                  <c:v>46223</c:v>
                </c:pt>
                <c:pt idx="566">
                  <c:v>46224</c:v>
                </c:pt>
                <c:pt idx="567">
                  <c:v>46225</c:v>
                </c:pt>
                <c:pt idx="568">
                  <c:v>46226</c:v>
                </c:pt>
                <c:pt idx="569">
                  <c:v>46227</c:v>
                </c:pt>
                <c:pt idx="570">
                  <c:v>46228</c:v>
                </c:pt>
                <c:pt idx="571">
                  <c:v>46229</c:v>
                </c:pt>
                <c:pt idx="572">
                  <c:v>46230</c:v>
                </c:pt>
                <c:pt idx="573">
                  <c:v>46231</c:v>
                </c:pt>
                <c:pt idx="574">
                  <c:v>46232</c:v>
                </c:pt>
                <c:pt idx="575">
                  <c:v>46233</c:v>
                </c:pt>
                <c:pt idx="576">
                  <c:v>46234</c:v>
                </c:pt>
                <c:pt idx="577">
                  <c:v>46235</c:v>
                </c:pt>
                <c:pt idx="578">
                  <c:v>46236</c:v>
                </c:pt>
                <c:pt idx="579">
                  <c:v>46237</c:v>
                </c:pt>
                <c:pt idx="580">
                  <c:v>46238</c:v>
                </c:pt>
                <c:pt idx="581">
                  <c:v>46239</c:v>
                </c:pt>
                <c:pt idx="582">
                  <c:v>46240</c:v>
                </c:pt>
                <c:pt idx="583">
                  <c:v>46241</c:v>
                </c:pt>
                <c:pt idx="584">
                  <c:v>46242</c:v>
                </c:pt>
                <c:pt idx="585">
                  <c:v>46243</c:v>
                </c:pt>
                <c:pt idx="586">
                  <c:v>46244</c:v>
                </c:pt>
                <c:pt idx="587">
                  <c:v>46245</c:v>
                </c:pt>
                <c:pt idx="588">
                  <c:v>46246</c:v>
                </c:pt>
                <c:pt idx="589">
                  <c:v>46247</c:v>
                </c:pt>
                <c:pt idx="590">
                  <c:v>46248</c:v>
                </c:pt>
                <c:pt idx="591">
                  <c:v>46249</c:v>
                </c:pt>
                <c:pt idx="592">
                  <c:v>46250</c:v>
                </c:pt>
                <c:pt idx="593">
                  <c:v>46251</c:v>
                </c:pt>
                <c:pt idx="594">
                  <c:v>46252</c:v>
                </c:pt>
                <c:pt idx="595">
                  <c:v>46253</c:v>
                </c:pt>
                <c:pt idx="596">
                  <c:v>46254</c:v>
                </c:pt>
                <c:pt idx="597">
                  <c:v>46255</c:v>
                </c:pt>
                <c:pt idx="598">
                  <c:v>46256</c:v>
                </c:pt>
                <c:pt idx="599">
                  <c:v>46257</c:v>
                </c:pt>
                <c:pt idx="600">
                  <c:v>46258</c:v>
                </c:pt>
                <c:pt idx="601">
                  <c:v>46259</c:v>
                </c:pt>
                <c:pt idx="602">
                  <c:v>46260</c:v>
                </c:pt>
                <c:pt idx="603">
                  <c:v>46261</c:v>
                </c:pt>
                <c:pt idx="604">
                  <c:v>46262</c:v>
                </c:pt>
                <c:pt idx="605">
                  <c:v>46263</c:v>
                </c:pt>
                <c:pt idx="606">
                  <c:v>46264</c:v>
                </c:pt>
                <c:pt idx="607">
                  <c:v>46265</c:v>
                </c:pt>
                <c:pt idx="608">
                  <c:v>46266</c:v>
                </c:pt>
              </c:numCache>
            </c:numRef>
          </c:cat>
          <c:val>
            <c:numRef>
              <c:f>Summary!$S$2:$S$610</c:f>
              <c:numCache>
                <c:formatCode>General</c:formatCode>
                <c:ptCount val="609"/>
                <c:pt idx="0">
                  <c:v>292000</c:v>
                </c:pt>
                <c:pt idx="1">
                  <c:v>290000</c:v>
                </c:pt>
                <c:pt idx="2">
                  <c:v>290500</c:v>
                </c:pt>
                <c:pt idx="3">
                  <c:v>290500</c:v>
                </c:pt>
                <c:pt idx="4">
                  <c:v>290500</c:v>
                </c:pt>
                <c:pt idx="5">
                  <c:v>291000</c:v>
                </c:pt>
                <c:pt idx="6">
                  <c:v>291500</c:v>
                </c:pt>
                <c:pt idx="7">
                  <c:v>291500</c:v>
                </c:pt>
                <c:pt idx="8">
                  <c:v>291500</c:v>
                </c:pt>
                <c:pt idx="9">
                  <c:v>291000</c:v>
                </c:pt>
                <c:pt idx="10">
                  <c:v>290500</c:v>
                </c:pt>
                <c:pt idx="11">
                  <c:v>290500</c:v>
                </c:pt>
                <c:pt idx="12">
                  <c:v>290000</c:v>
                </c:pt>
                <c:pt idx="13">
                  <c:v>290500</c:v>
                </c:pt>
                <c:pt idx="14">
                  <c:v>296000</c:v>
                </c:pt>
                <c:pt idx="15">
                  <c:v>291000</c:v>
                </c:pt>
                <c:pt idx="16">
                  <c:v>291000</c:v>
                </c:pt>
                <c:pt idx="17">
                  <c:v>290500</c:v>
                </c:pt>
                <c:pt idx="18">
                  <c:v>290500</c:v>
                </c:pt>
                <c:pt idx="19">
                  <c:v>290500</c:v>
                </c:pt>
                <c:pt idx="20">
                  <c:v>290500</c:v>
                </c:pt>
                <c:pt idx="21">
                  <c:v>290500</c:v>
                </c:pt>
                <c:pt idx="22">
                  <c:v>290500</c:v>
                </c:pt>
                <c:pt idx="23">
                  <c:v>290000</c:v>
                </c:pt>
                <c:pt idx="24">
                  <c:v>290000</c:v>
                </c:pt>
                <c:pt idx="25">
                  <c:v>290000</c:v>
                </c:pt>
                <c:pt idx="26">
                  <c:v>290000</c:v>
                </c:pt>
                <c:pt idx="27">
                  <c:v>290000</c:v>
                </c:pt>
                <c:pt idx="28">
                  <c:v>290000</c:v>
                </c:pt>
                <c:pt idx="29">
                  <c:v>290500</c:v>
                </c:pt>
                <c:pt idx="30">
                  <c:v>291000</c:v>
                </c:pt>
                <c:pt idx="31">
                  <c:v>298500</c:v>
                </c:pt>
                <c:pt idx="32">
                  <c:v>298500</c:v>
                </c:pt>
                <c:pt idx="33">
                  <c:v>292000</c:v>
                </c:pt>
                <c:pt idx="34">
                  <c:v>292000</c:v>
                </c:pt>
                <c:pt idx="35">
                  <c:v>292500</c:v>
                </c:pt>
                <c:pt idx="36">
                  <c:v>292500</c:v>
                </c:pt>
                <c:pt idx="37">
                  <c:v>293000</c:v>
                </c:pt>
                <c:pt idx="38">
                  <c:v>293500</c:v>
                </c:pt>
                <c:pt idx="39">
                  <c:v>293500</c:v>
                </c:pt>
                <c:pt idx="40">
                  <c:v>294500</c:v>
                </c:pt>
                <c:pt idx="41">
                  <c:v>295500</c:v>
                </c:pt>
                <c:pt idx="42">
                  <c:v>295500</c:v>
                </c:pt>
                <c:pt idx="43">
                  <c:v>296000</c:v>
                </c:pt>
                <c:pt idx="44">
                  <c:v>296000</c:v>
                </c:pt>
                <c:pt idx="45">
                  <c:v>304000</c:v>
                </c:pt>
                <c:pt idx="46">
                  <c:v>304000</c:v>
                </c:pt>
                <c:pt idx="47">
                  <c:v>297000</c:v>
                </c:pt>
                <c:pt idx="48">
                  <c:v>297500</c:v>
                </c:pt>
                <c:pt idx="49">
                  <c:v>297500</c:v>
                </c:pt>
                <c:pt idx="50">
                  <c:v>297500</c:v>
                </c:pt>
                <c:pt idx="51">
                  <c:v>298000</c:v>
                </c:pt>
                <c:pt idx="52">
                  <c:v>298000</c:v>
                </c:pt>
                <c:pt idx="53">
                  <c:v>298000</c:v>
                </c:pt>
                <c:pt idx="54">
                  <c:v>298000</c:v>
                </c:pt>
                <c:pt idx="55">
                  <c:v>298500</c:v>
                </c:pt>
                <c:pt idx="56">
                  <c:v>299000</c:v>
                </c:pt>
                <c:pt idx="57">
                  <c:v>299000</c:v>
                </c:pt>
                <c:pt idx="58">
                  <c:v>299500</c:v>
                </c:pt>
                <c:pt idx="59">
                  <c:v>310000</c:v>
                </c:pt>
                <c:pt idx="60">
                  <c:v>310000</c:v>
                </c:pt>
                <c:pt idx="61">
                  <c:v>309500</c:v>
                </c:pt>
                <c:pt idx="62">
                  <c:v>310000</c:v>
                </c:pt>
                <c:pt idx="63">
                  <c:v>311000</c:v>
                </c:pt>
                <c:pt idx="64">
                  <c:v>311500</c:v>
                </c:pt>
                <c:pt idx="65">
                  <c:v>312000</c:v>
                </c:pt>
                <c:pt idx="66">
                  <c:v>312500</c:v>
                </c:pt>
                <c:pt idx="67">
                  <c:v>312500</c:v>
                </c:pt>
                <c:pt idx="68">
                  <c:v>312500</c:v>
                </c:pt>
                <c:pt idx="69">
                  <c:v>312500</c:v>
                </c:pt>
                <c:pt idx="70">
                  <c:v>313500</c:v>
                </c:pt>
                <c:pt idx="71">
                  <c:v>314000</c:v>
                </c:pt>
                <c:pt idx="72">
                  <c:v>314000</c:v>
                </c:pt>
                <c:pt idx="73">
                  <c:v>319000</c:v>
                </c:pt>
                <c:pt idx="74">
                  <c:v>319000</c:v>
                </c:pt>
                <c:pt idx="75">
                  <c:v>314000</c:v>
                </c:pt>
                <c:pt idx="76">
                  <c:v>315000</c:v>
                </c:pt>
                <c:pt idx="77">
                  <c:v>314500</c:v>
                </c:pt>
                <c:pt idx="78">
                  <c:v>315000</c:v>
                </c:pt>
                <c:pt idx="79">
                  <c:v>315500</c:v>
                </c:pt>
                <c:pt idx="80">
                  <c:v>316000</c:v>
                </c:pt>
                <c:pt idx="81">
                  <c:v>316000</c:v>
                </c:pt>
                <c:pt idx="82">
                  <c:v>315500</c:v>
                </c:pt>
                <c:pt idx="83">
                  <c:v>315500</c:v>
                </c:pt>
                <c:pt idx="84">
                  <c:v>316000</c:v>
                </c:pt>
                <c:pt idx="85">
                  <c:v>315500</c:v>
                </c:pt>
                <c:pt idx="86">
                  <c:v>315500</c:v>
                </c:pt>
                <c:pt idx="87">
                  <c:v>315500</c:v>
                </c:pt>
                <c:pt idx="88">
                  <c:v>315500</c:v>
                </c:pt>
                <c:pt idx="89">
                  <c:v>316000</c:v>
                </c:pt>
                <c:pt idx="90">
                  <c:v>328500</c:v>
                </c:pt>
                <c:pt idx="91">
                  <c:v>331000</c:v>
                </c:pt>
                <c:pt idx="92">
                  <c:v>331500</c:v>
                </c:pt>
                <c:pt idx="93">
                  <c:v>332000</c:v>
                </c:pt>
                <c:pt idx="94">
                  <c:v>332500</c:v>
                </c:pt>
                <c:pt idx="95">
                  <c:v>332500</c:v>
                </c:pt>
                <c:pt idx="96">
                  <c:v>333500</c:v>
                </c:pt>
                <c:pt idx="97">
                  <c:v>333500</c:v>
                </c:pt>
                <c:pt idx="98">
                  <c:v>334000</c:v>
                </c:pt>
                <c:pt idx="99">
                  <c:v>334000</c:v>
                </c:pt>
                <c:pt idx="100">
                  <c:v>335000</c:v>
                </c:pt>
                <c:pt idx="101">
                  <c:v>335500</c:v>
                </c:pt>
                <c:pt idx="102">
                  <c:v>335500</c:v>
                </c:pt>
                <c:pt idx="103">
                  <c:v>336000</c:v>
                </c:pt>
                <c:pt idx="104">
                  <c:v>335000</c:v>
                </c:pt>
                <c:pt idx="105">
                  <c:v>336500</c:v>
                </c:pt>
                <c:pt idx="106">
                  <c:v>336500</c:v>
                </c:pt>
                <c:pt idx="107">
                  <c:v>337000</c:v>
                </c:pt>
                <c:pt idx="108">
                  <c:v>337000</c:v>
                </c:pt>
                <c:pt idx="109">
                  <c:v>337000</c:v>
                </c:pt>
                <c:pt idx="110">
                  <c:v>338000</c:v>
                </c:pt>
                <c:pt idx="111">
                  <c:v>339000</c:v>
                </c:pt>
                <c:pt idx="112">
                  <c:v>339000</c:v>
                </c:pt>
                <c:pt idx="113">
                  <c:v>339000</c:v>
                </c:pt>
                <c:pt idx="114">
                  <c:v>339000</c:v>
                </c:pt>
                <c:pt idx="115">
                  <c:v>339000</c:v>
                </c:pt>
                <c:pt idx="116">
                  <c:v>339000</c:v>
                </c:pt>
                <c:pt idx="117">
                  <c:v>339500</c:v>
                </c:pt>
                <c:pt idx="118">
                  <c:v>340000</c:v>
                </c:pt>
                <c:pt idx="119">
                  <c:v>340500</c:v>
                </c:pt>
                <c:pt idx="120">
                  <c:v>342000</c:v>
                </c:pt>
                <c:pt idx="121">
                  <c:v>340500</c:v>
                </c:pt>
                <c:pt idx="122">
                  <c:v>341000</c:v>
                </c:pt>
                <c:pt idx="123">
                  <c:v>341000</c:v>
                </c:pt>
                <c:pt idx="124">
                  <c:v>342000</c:v>
                </c:pt>
                <c:pt idx="125">
                  <c:v>342500</c:v>
                </c:pt>
                <c:pt idx="126">
                  <c:v>342000</c:v>
                </c:pt>
                <c:pt idx="127">
                  <c:v>342500</c:v>
                </c:pt>
                <c:pt idx="128">
                  <c:v>343000</c:v>
                </c:pt>
                <c:pt idx="129">
                  <c:v>343000</c:v>
                </c:pt>
                <c:pt idx="130">
                  <c:v>343000</c:v>
                </c:pt>
                <c:pt idx="131">
                  <c:v>343500</c:v>
                </c:pt>
                <c:pt idx="132">
                  <c:v>343500</c:v>
                </c:pt>
                <c:pt idx="133">
                  <c:v>344000</c:v>
                </c:pt>
                <c:pt idx="134">
                  <c:v>348000</c:v>
                </c:pt>
                <c:pt idx="135">
                  <c:v>343500</c:v>
                </c:pt>
                <c:pt idx="136">
                  <c:v>344000</c:v>
                </c:pt>
                <c:pt idx="137">
                  <c:v>344000</c:v>
                </c:pt>
                <c:pt idx="138">
                  <c:v>343500</c:v>
                </c:pt>
                <c:pt idx="139">
                  <c:v>343500</c:v>
                </c:pt>
                <c:pt idx="140">
                  <c:v>343500</c:v>
                </c:pt>
                <c:pt idx="141">
                  <c:v>343000</c:v>
                </c:pt>
                <c:pt idx="142">
                  <c:v>342500</c:v>
                </c:pt>
                <c:pt idx="143">
                  <c:v>342500</c:v>
                </c:pt>
                <c:pt idx="144">
                  <c:v>342500</c:v>
                </c:pt>
                <c:pt idx="145">
                  <c:v>342500</c:v>
                </c:pt>
                <c:pt idx="146">
                  <c:v>343500</c:v>
                </c:pt>
                <c:pt idx="147">
                  <c:v>343500</c:v>
                </c:pt>
                <c:pt idx="148">
                  <c:v>343000</c:v>
                </c:pt>
                <c:pt idx="149">
                  <c:v>344000</c:v>
                </c:pt>
                <c:pt idx="150">
                  <c:v>344500</c:v>
                </c:pt>
                <c:pt idx="151">
                  <c:v>355000</c:v>
                </c:pt>
                <c:pt idx="152">
                  <c:v>347500</c:v>
                </c:pt>
                <c:pt idx="153">
                  <c:v>348500</c:v>
                </c:pt>
                <c:pt idx="154">
                  <c:v>349000</c:v>
                </c:pt>
                <c:pt idx="155">
                  <c:v>349500</c:v>
                </c:pt>
                <c:pt idx="156">
                  <c:v>350500</c:v>
                </c:pt>
                <c:pt idx="157">
                  <c:v>351500</c:v>
                </c:pt>
                <c:pt idx="158">
                  <c:v>351500</c:v>
                </c:pt>
                <c:pt idx="159">
                  <c:v>351500</c:v>
                </c:pt>
                <c:pt idx="160">
                  <c:v>352500</c:v>
                </c:pt>
                <c:pt idx="161">
                  <c:v>353000</c:v>
                </c:pt>
                <c:pt idx="162">
                  <c:v>352500</c:v>
                </c:pt>
                <c:pt idx="163">
                  <c:v>352500</c:v>
                </c:pt>
                <c:pt idx="164">
                  <c:v>352500</c:v>
                </c:pt>
                <c:pt idx="165">
                  <c:v>360000</c:v>
                </c:pt>
                <c:pt idx="166">
                  <c:v>353500</c:v>
                </c:pt>
                <c:pt idx="167">
                  <c:v>354000</c:v>
                </c:pt>
                <c:pt idx="168">
                  <c:v>354500</c:v>
                </c:pt>
                <c:pt idx="169">
                  <c:v>355000</c:v>
                </c:pt>
                <c:pt idx="170">
                  <c:v>354500</c:v>
                </c:pt>
                <c:pt idx="171">
                  <c:v>354500</c:v>
                </c:pt>
                <c:pt idx="172">
                  <c:v>354500</c:v>
                </c:pt>
                <c:pt idx="173">
                  <c:v>354500</c:v>
                </c:pt>
                <c:pt idx="174">
                  <c:v>354000</c:v>
                </c:pt>
                <c:pt idx="175">
                  <c:v>354000</c:v>
                </c:pt>
                <c:pt idx="176">
                  <c:v>354500</c:v>
                </c:pt>
                <c:pt idx="177">
                  <c:v>354500</c:v>
                </c:pt>
                <c:pt idx="178">
                  <c:v>354000</c:v>
                </c:pt>
                <c:pt idx="179">
                  <c:v>354000</c:v>
                </c:pt>
                <c:pt idx="180">
                  <c:v>355000</c:v>
                </c:pt>
                <c:pt idx="181">
                  <c:v>365500</c:v>
                </c:pt>
                <c:pt idx="182">
                  <c:v>357000</c:v>
                </c:pt>
                <c:pt idx="183">
                  <c:v>358000</c:v>
                </c:pt>
                <c:pt idx="184">
                  <c:v>358500</c:v>
                </c:pt>
                <c:pt idx="185">
                  <c:v>358500</c:v>
                </c:pt>
                <c:pt idx="186">
                  <c:v>358500</c:v>
                </c:pt>
                <c:pt idx="187">
                  <c:v>359000</c:v>
                </c:pt>
                <c:pt idx="188">
                  <c:v>360000</c:v>
                </c:pt>
                <c:pt idx="189">
                  <c:v>360500</c:v>
                </c:pt>
                <c:pt idx="190">
                  <c:v>361000</c:v>
                </c:pt>
                <c:pt idx="191">
                  <c:v>362000</c:v>
                </c:pt>
                <c:pt idx="192">
                  <c:v>362000</c:v>
                </c:pt>
                <c:pt idx="193">
                  <c:v>362000</c:v>
                </c:pt>
                <c:pt idx="194">
                  <c:v>363000</c:v>
                </c:pt>
                <c:pt idx="195">
                  <c:v>370000</c:v>
                </c:pt>
                <c:pt idx="196">
                  <c:v>363500</c:v>
                </c:pt>
                <c:pt idx="197">
                  <c:v>364000</c:v>
                </c:pt>
                <c:pt idx="198">
                  <c:v>365000</c:v>
                </c:pt>
                <c:pt idx="199">
                  <c:v>365500</c:v>
                </c:pt>
                <c:pt idx="200">
                  <c:v>365500</c:v>
                </c:pt>
                <c:pt idx="201">
                  <c:v>365500</c:v>
                </c:pt>
                <c:pt idx="202">
                  <c:v>365500</c:v>
                </c:pt>
                <c:pt idx="203">
                  <c:v>366000</c:v>
                </c:pt>
                <c:pt idx="204">
                  <c:v>367000</c:v>
                </c:pt>
                <c:pt idx="205">
                  <c:v>366500</c:v>
                </c:pt>
                <c:pt idx="206">
                  <c:v>366000</c:v>
                </c:pt>
                <c:pt idx="207">
                  <c:v>366000</c:v>
                </c:pt>
                <c:pt idx="208">
                  <c:v>366500</c:v>
                </c:pt>
                <c:pt idx="209">
                  <c:v>366500</c:v>
                </c:pt>
                <c:pt idx="210">
                  <c:v>367000</c:v>
                </c:pt>
                <c:pt idx="211">
                  <c:v>367500</c:v>
                </c:pt>
                <c:pt idx="212">
                  <c:v>378000</c:v>
                </c:pt>
                <c:pt idx="213">
                  <c:v>370000</c:v>
                </c:pt>
                <c:pt idx="214">
                  <c:v>370000</c:v>
                </c:pt>
                <c:pt idx="215">
                  <c:v>370500</c:v>
                </c:pt>
                <c:pt idx="216">
                  <c:v>370500</c:v>
                </c:pt>
                <c:pt idx="217">
                  <c:v>371500</c:v>
                </c:pt>
                <c:pt idx="218">
                  <c:v>372500</c:v>
                </c:pt>
                <c:pt idx="219">
                  <c:v>372500</c:v>
                </c:pt>
                <c:pt idx="220">
                  <c:v>373500</c:v>
                </c:pt>
                <c:pt idx="221">
                  <c:v>373500</c:v>
                </c:pt>
                <c:pt idx="222">
                  <c:v>374000</c:v>
                </c:pt>
                <c:pt idx="223">
                  <c:v>375000</c:v>
                </c:pt>
                <c:pt idx="224">
                  <c:v>375500</c:v>
                </c:pt>
                <c:pt idx="225">
                  <c:v>376500</c:v>
                </c:pt>
                <c:pt idx="226">
                  <c:v>383000</c:v>
                </c:pt>
                <c:pt idx="227">
                  <c:v>376500</c:v>
                </c:pt>
                <c:pt idx="228">
                  <c:v>376500</c:v>
                </c:pt>
                <c:pt idx="229">
                  <c:v>376500</c:v>
                </c:pt>
                <c:pt idx="230">
                  <c:v>376500</c:v>
                </c:pt>
                <c:pt idx="231">
                  <c:v>376000</c:v>
                </c:pt>
                <c:pt idx="232">
                  <c:v>376000</c:v>
                </c:pt>
                <c:pt idx="233">
                  <c:v>375500</c:v>
                </c:pt>
                <c:pt idx="234">
                  <c:v>376500</c:v>
                </c:pt>
                <c:pt idx="235">
                  <c:v>376500</c:v>
                </c:pt>
                <c:pt idx="236">
                  <c:v>377000</c:v>
                </c:pt>
                <c:pt idx="237">
                  <c:v>378000</c:v>
                </c:pt>
                <c:pt idx="238">
                  <c:v>378000</c:v>
                </c:pt>
                <c:pt idx="239">
                  <c:v>378000</c:v>
                </c:pt>
                <c:pt idx="240">
                  <c:v>378500</c:v>
                </c:pt>
                <c:pt idx="241">
                  <c:v>378000</c:v>
                </c:pt>
                <c:pt idx="242">
                  <c:v>378000</c:v>
                </c:pt>
                <c:pt idx="243">
                  <c:v>388500</c:v>
                </c:pt>
                <c:pt idx="244">
                  <c:v>380000</c:v>
                </c:pt>
                <c:pt idx="245">
                  <c:v>381500</c:v>
                </c:pt>
                <c:pt idx="246">
                  <c:v>382000</c:v>
                </c:pt>
                <c:pt idx="247">
                  <c:v>382000</c:v>
                </c:pt>
                <c:pt idx="248">
                  <c:v>382500</c:v>
                </c:pt>
                <c:pt idx="249">
                  <c:v>382500</c:v>
                </c:pt>
                <c:pt idx="250">
                  <c:v>383500</c:v>
                </c:pt>
                <c:pt idx="251">
                  <c:v>384500</c:v>
                </c:pt>
                <c:pt idx="252">
                  <c:v>385500</c:v>
                </c:pt>
                <c:pt idx="253">
                  <c:v>385500</c:v>
                </c:pt>
                <c:pt idx="254">
                  <c:v>386500</c:v>
                </c:pt>
                <c:pt idx="255">
                  <c:v>387000</c:v>
                </c:pt>
                <c:pt idx="256">
                  <c:v>387000</c:v>
                </c:pt>
                <c:pt idx="257">
                  <c:v>393000</c:v>
                </c:pt>
                <c:pt idx="258">
                  <c:v>388000</c:v>
                </c:pt>
                <c:pt idx="259">
                  <c:v>388000</c:v>
                </c:pt>
                <c:pt idx="260">
                  <c:v>388500</c:v>
                </c:pt>
                <c:pt idx="261">
                  <c:v>389000</c:v>
                </c:pt>
                <c:pt idx="262">
                  <c:v>388500</c:v>
                </c:pt>
                <c:pt idx="263">
                  <c:v>388500</c:v>
                </c:pt>
                <c:pt idx="264">
                  <c:v>389000</c:v>
                </c:pt>
                <c:pt idx="265">
                  <c:v>389500</c:v>
                </c:pt>
                <c:pt idx="266">
                  <c:v>389500</c:v>
                </c:pt>
                <c:pt idx="267">
                  <c:v>389500</c:v>
                </c:pt>
                <c:pt idx="268">
                  <c:v>389000</c:v>
                </c:pt>
                <c:pt idx="269">
                  <c:v>389500</c:v>
                </c:pt>
                <c:pt idx="270">
                  <c:v>389500</c:v>
                </c:pt>
                <c:pt idx="271">
                  <c:v>389000</c:v>
                </c:pt>
                <c:pt idx="272">
                  <c:v>389000</c:v>
                </c:pt>
                <c:pt idx="273">
                  <c:v>398000</c:v>
                </c:pt>
                <c:pt idx="274">
                  <c:v>391000</c:v>
                </c:pt>
                <c:pt idx="275">
                  <c:v>391500</c:v>
                </c:pt>
                <c:pt idx="276">
                  <c:v>391500</c:v>
                </c:pt>
                <c:pt idx="277">
                  <c:v>391500</c:v>
                </c:pt>
                <c:pt idx="278">
                  <c:v>393000</c:v>
                </c:pt>
                <c:pt idx="279">
                  <c:v>393500</c:v>
                </c:pt>
                <c:pt idx="280">
                  <c:v>395000</c:v>
                </c:pt>
                <c:pt idx="281">
                  <c:v>395000</c:v>
                </c:pt>
                <c:pt idx="282">
                  <c:v>396000</c:v>
                </c:pt>
                <c:pt idx="283">
                  <c:v>397000</c:v>
                </c:pt>
                <c:pt idx="284">
                  <c:v>397000</c:v>
                </c:pt>
                <c:pt idx="285">
                  <c:v>396500</c:v>
                </c:pt>
                <c:pt idx="286">
                  <c:v>397000</c:v>
                </c:pt>
                <c:pt idx="287">
                  <c:v>404000</c:v>
                </c:pt>
                <c:pt idx="288">
                  <c:v>397500</c:v>
                </c:pt>
                <c:pt idx="289">
                  <c:v>398000</c:v>
                </c:pt>
                <c:pt idx="290">
                  <c:v>399000</c:v>
                </c:pt>
                <c:pt idx="291">
                  <c:v>399000</c:v>
                </c:pt>
                <c:pt idx="292">
                  <c:v>398500</c:v>
                </c:pt>
                <c:pt idx="293">
                  <c:v>399000</c:v>
                </c:pt>
                <c:pt idx="294">
                  <c:v>399500</c:v>
                </c:pt>
                <c:pt idx="295">
                  <c:v>399000</c:v>
                </c:pt>
                <c:pt idx="296">
                  <c:v>398500</c:v>
                </c:pt>
                <c:pt idx="297">
                  <c:v>399000</c:v>
                </c:pt>
                <c:pt idx="298">
                  <c:v>399000</c:v>
                </c:pt>
                <c:pt idx="299">
                  <c:v>399000</c:v>
                </c:pt>
                <c:pt idx="300">
                  <c:v>399000</c:v>
                </c:pt>
                <c:pt idx="301">
                  <c:v>399000</c:v>
                </c:pt>
                <c:pt idx="302">
                  <c:v>399000</c:v>
                </c:pt>
                <c:pt idx="303">
                  <c:v>399500</c:v>
                </c:pt>
                <c:pt idx="304">
                  <c:v>408500</c:v>
                </c:pt>
                <c:pt idx="305">
                  <c:v>408500</c:v>
                </c:pt>
                <c:pt idx="306">
                  <c:v>401500</c:v>
                </c:pt>
                <c:pt idx="307">
                  <c:v>402500</c:v>
                </c:pt>
                <c:pt idx="308">
                  <c:v>403000</c:v>
                </c:pt>
                <c:pt idx="309">
                  <c:v>403500</c:v>
                </c:pt>
                <c:pt idx="310">
                  <c:v>404000</c:v>
                </c:pt>
                <c:pt idx="311">
                  <c:v>404500</c:v>
                </c:pt>
                <c:pt idx="312">
                  <c:v>404500</c:v>
                </c:pt>
                <c:pt idx="313">
                  <c:v>404500</c:v>
                </c:pt>
                <c:pt idx="314">
                  <c:v>404500</c:v>
                </c:pt>
                <c:pt idx="315">
                  <c:v>405500</c:v>
                </c:pt>
                <c:pt idx="316">
                  <c:v>406000</c:v>
                </c:pt>
                <c:pt idx="317">
                  <c:v>406000</c:v>
                </c:pt>
                <c:pt idx="318">
                  <c:v>413000</c:v>
                </c:pt>
                <c:pt idx="319">
                  <c:v>413000</c:v>
                </c:pt>
                <c:pt idx="320">
                  <c:v>406500</c:v>
                </c:pt>
                <c:pt idx="321">
                  <c:v>406500</c:v>
                </c:pt>
                <c:pt idx="322">
                  <c:v>406500</c:v>
                </c:pt>
                <c:pt idx="323">
                  <c:v>407500</c:v>
                </c:pt>
                <c:pt idx="324">
                  <c:v>407500</c:v>
                </c:pt>
                <c:pt idx="325">
                  <c:v>408500</c:v>
                </c:pt>
                <c:pt idx="326">
                  <c:v>408500</c:v>
                </c:pt>
                <c:pt idx="327">
                  <c:v>408500</c:v>
                </c:pt>
                <c:pt idx="328">
                  <c:v>408000</c:v>
                </c:pt>
                <c:pt idx="329">
                  <c:v>408500</c:v>
                </c:pt>
                <c:pt idx="330">
                  <c:v>408500</c:v>
                </c:pt>
                <c:pt idx="331">
                  <c:v>409500</c:v>
                </c:pt>
                <c:pt idx="332">
                  <c:v>409500</c:v>
                </c:pt>
                <c:pt idx="333">
                  <c:v>409500</c:v>
                </c:pt>
                <c:pt idx="334">
                  <c:v>415000</c:v>
                </c:pt>
                <c:pt idx="335">
                  <c:v>410500</c:v>
                </c:pt>
                <c:pt idx="336">
                  <c:v>411500</c:v>
                </c:pt>
                <c:pt idx="337">
                  <c:v>411500</c:v>
                </c:pt>
                <c:pt idx="338">
                  <c:v>412000</c:v>
                </c:pt>
                <c:pt idx="339">
                  <c:v>412000</c:v>
                </c:pt>
                <c:pt idx="340">
                  <c:v>412000</c:v>
                </c:pt>
                <c:pt idx="341">
                  <c:v>412500</c:v>
                </c:pt>
                <c:pt idx="342">
                  <c:v>413500</c:v>
                </c:pt>
                <c:pt idx="343">
                  <c:v>414500</c:v>
                </c:pt>
                <c:pt idx="344">
                  <c:v>415000</c:v>
                </c:pt>
                <c:pt idx="345">
                  <c:v>416000</c:v>
                </c:pt>
                <c:pt idx="346">
                  <c:v>416500</c:v>
                </c:pt>
                <c:pt idx="347">
                  <c:v>416500</c:v>
                </c:pt>
                <c:pt idx="348">
                  <c:v>420000</c:v>
                </c:pt>
                <c:pt idx="349">
                  <c:v>417000</c:v>
                </c:pt>
                <c:pt idx="350">
                  <c:v>416500</c:v>
                </c:pt>
                <c:pt idx="351">
                  <c:v>416000</c:v>
                </c:pt>
                <c:pt idx="352">
                  <c:v>415500</c:v>
                </c:pt>
                <c:pt idx="353">
                  <c:v>416000</c:v>
                </c:pt>
                <c:pt idx="354">
                  <c:v>416000</c:v>
                </c:pt>
                <c:pt idx="355">
                  <c:v>415500</c:v>
                </c:pt>
                <c:pt idx="356">
                  <c:v>416000</c:v>
                </c:pt>
                <c:pt idx="357">
                  <c:v>416000</c:v>
                </c:pt>
                <c:pt idx="358">
                  <c:v>416500</c:v>
                </c:pt>
                <c:pt idx="359">
                  <c:v>416500</c:v>
                </c:pt>
                <c:pt idx="360">
                  <c:v>417000</c:v>
                </c:pt>
                <c:pt idx="361">
                  <c:v>417000</c:v>
                </c:pt>
                <c:pt idx="362">
                  <c:v>416500</c:v>
                </c:pt>
                <c:pt idx="363">
                  <c:v>416500</c:v>
                </c:pt>
                <c:pt idx="364">
                  <c:v>417500</c:v>
                </c:pt>
                <c:pt idx="365">
                  <c:v>418000</c:v>
                </c:pt>
                <c:pt idx="366">
                  <c:v>418500</c:v>
                </c:pt>
                <c:pt idx="367">
                  <c:v>419000</c:v>
                </c:pt>
                <c:pt idx="368">
                  <c:v>419000</c:v>
                </c:pt>
                <c:pt idx="369">
                  <c:v>420000</c:v>
                </c:pt>
                <c:pt idx="370">
                  <c:v>419500</c:v>
                </c:pt>
                <c:pt idx="371">
                  <c:v>420500</c:v>
                </c:pt>
                <c:pt idx="372">
                  <c:v>421000</c:v>
                </c:pt>
                <c:pt idx="373">
                  <c:v>421000</c:v>
                </c:pt>
                <c:pt idx="374">
                  <c:v>421500</c:v>
                </c:pt>
                <c:pt idx="375">
                  <c:v>421500</c:v>
                </c:pt>
                <c:pt idx="376">
                  <c:v>421500</c:v>
                </c:pt>
                <c:pt idx="377">
                  <c:v>422000</c:v>
                </c:pt>
                <c:pt idx="378">
                  <c:v>422500</c:v>
                </c:pt>
                <c:pt idx="379">
                  <c:v>422500</c:v>
                </c:pt>
                <c:pt idx="380">
                  <c:v>422000</c:v>
                </c:pt>
                <c:pt idx="381">
                  <c:v>423000</c:v>
                </c:pt>
                <c:pt idx="382">
                  <c:v>423000</c:v>
                </c:pt>
                <c:pt idx="383">
                  <c:v>423000</c:v>
                </c:pt>
                <c:pt idx="384">
                  <c:v>423500</c:v>
                </c:pt>
                <c:pt idx="385">
                  <c:v>422500</c:v>
                </c:pt>
                <c:pt idx="386">
                  <c:v>422000</c:v>
                </c:pt>
                <c:pt idx="387">
                  <c:v>421500</c:v>
                </c:pt>
                <c:pt idx="388">
                  <c:v>421000</c:v>
                </c:pt>
                <c:pt idx="389">
                  <c:v>421000</c:v>
                </c:pt>
                <c:pt idx="390">
                  <c:v>421000</c:v>
                </c:pt>
                <c:pt idx="391">
                  <c:v>421500</c:v>
                </c:pt>
                <c:pt idx="392">
                  <c:v>421500</c:v>
                </c:pt>
                <c:pt idx="393">
                  <c:v>422500</c:v>
                </c:pt>
                <c:pt idx="394">
                  <c:v>423000</c:v>
                </c:pt>
                <c:pt idx="395">
                  <c:v>423500</c:v>
                </c:pt>
                <c:pt idx="396">
                  <c:v>423500</c:v>
                </c:pt>
                <c:pt idx="397">
                  <c:v>423000</c:v>
                </c:pt>
                <c:pt idx="398">
                  <c:v>423500</c:v>
                </c:pt>
                <c:pt idx="399">
                  <c:v>423500</c:v>
                </c:pt>
                <c:pt idx="400">
                  <c:v>423000</c:v>
                </c:pt>
                <c:pt idx="401">
                  <c:v>423000</c:v>
                </c:pt>
                <c:pt idx="402">
                  <c:v>423000</c:v>
                </c:pt>
                <c:pt idx="403">
                  <c:v>423000</c:v>
                </c:pt>
                <c:pt idx="404">
                  <c:v>423000</c:v>
                </c:pt>
                <c:pt idx="405">
                  <c:v>422500</c:v>
                </c:pt>
                <c:pt idx="406">
                  <c:v>423500</c:v>
                </c:pt>
                <c:pt idx="407">
                  <c:v>423000</c:v>
                </c:pt>
                <c:pt idx="408">
                  <c:v>423500</c:v>
                </c:pt>
                <c:pt idx="409">
                  <c:v>424000</c:v>
                </c:pt>
                <c:pt idx="410">
                  <c:v>424000</c:v>
                </c:pt>
                <c:pt idx="411">
                  <c:v>424500</c:v>
                </c:pt>
                <c:pt idx="412">
                  <c:v>425000</c:v>
                </c:pt>
                <c:pt idx="413">
                  <c:v>425000</c:v>
                </c:pt>
                <c:pt idx="414">
                  <c:v>425500</c:v>
                </c:pt>
                <c:pt idx="415">
                  <c:v>424500</c:v>
                </c:pt>
                <c:pt idx="416">
                  <c:v>424000</c:v>
                </c:pt>
                <c:pt idx="417">
                  <c:v>424000</c:v>
                </c:pt>
                <c:pt idx="418">
                  <c:v>424500</c:v>
                </c:pt>
                <c:pt idx="419">
                  <c:v>424500</c:v>
                </c:pt>
                <c:pt idx="420">
                  <c:v>425000</c:v>
                </c:pt>
                <c:pt idx="421">
                  <c:v>425500</c:v>
                </c:pt>
                <c:pt idx="422">
                  <c:v>425500</c:v>
                </c:pt>
                <c:pt idx="423">
                  <c:v>425500</c:v>
                </c:pt>
                <c:pt idx="424">
                  <c:v>425500</c:v>
                </c:pt>
                <c:pt idx="425">
                  <c:v>426000</c:v>
                </c:pt>
                <c:pt idx="426">
                  <c:v>426500</c:v>
                </c:pt>
                <c:pt idx="427">
                  <c:v>426500</c:v>
                </c:pt>
                <c:pt idx="428">
                  <c:v>427500</c:v>
                </c:pt>
                <c:pt idx="429">
                  <c:v>427500</c:v>
                </c:pt>
                <c:pt idx="430">
                  <c:v>428000</c:v>
                </c:pt>
                <c:pt idx="431">
                  <c:v>428000</c:v>
                </c:pt>
                <c:pt idx="432">
                  <c:v>428500</c:v>
                </c:pt>
                <c:pt idx="433">
                  <c:v>428500</c:v>
                </c:pt>
                <c:pt idx="434">
                  <c:v>428000</c:v>
                </c:pt>
                <c:pt idx="435">
                  <c:v>427500</c:v>
                </c:pt>
                <c:pt idx="436">
                  <c:v>427500</c:v>
                </c:pt>
                <c:pt idx="437">
                  <c:v>427500</c:v>
                </c:pt>
                <c:pt idx="438">
                  <c:v>427500</c:v>
                </c:pt>
                <c:pt idx="439">
                  <c:v>427000</c:v>
                </c:pt>
                <c:pt idx="440">
                  <c:v>427500</c:v>
                </c:pt>
                <c:pt idx="441">
                  <c:v>427500</c:v>
                </c:pt>
                <c:pt idx="442">
                  <c:v>428000</c:v>
                </c:pt>
                <c:pt idx="443">
                  <c:v>428500</c:v>
                </c:pt>
                <c:pt idx="444">
                  <c:v>429000</c:v>
                </c:pt>
                <c:pt idx="445">
                  <c:v>429000</c:v>
                </c:pt>
                <c:pt idx="446">
                  <c:v>430000</c:v>
                </c:pt>
                <c:pt idx="447">
                  <c:v>429500</c:v>
                </c:pt>
                <c:pt idx="448">
                  <c:v>429500</c:v>
                </c:pt>
                <c:pt idx="449">
                  <c:v>429500</c:v>
                </c:pt>
                <c:pt idx="450">
                  <c:v>429000</c:v>
                </c:pt>
                <c:pt idx="451">
                  <c:v>429000</c:v>
                </c:pt>
                <c:pt idx="452">
                  <c:v>429000</c:v>
                </c:pt>
                <c:pt idx="453">
                  <c:v>428500</c:v>
                </c:pt>
                <c:pt idx="454">
                  <c:v>428000</c:v>
                </c:pt>
                <c:pt idx="455">
                  <c:v>427500</c:v>
                </c:pt>
                <c:pt idx="456">
                  <c:v>427500</c:v>
                </c:pt>
                <c:pt idx="457">
                  <c:v>427500</c:v>
                </c:pt>
                <c:pt idx="458">
                  <c:v>428000</c:v>
                </c:pt>
                <c:pt idx="459">
                  <c:v>428000</c:v>
                </c:pt>
                <c:pt idx="460">
                  <c:v>428000</c:v>
                </c:pt>
                <c:pt idx="461">
                  <c:v>429000</c:v>
                </c:pt>
                <c:pt idx="462">
                  <c:v>428500</c:v>
                </c:pt>
                <c:pt idx="463">
                  <c:v>428500</c:v>
                </c:pt>
                <c:pt idx="464">
                  <c:v>429000</c:v>
                </c:pt>
                <c:pt idx="465">
                  <c:v>429000</c:v>
                </c:pt>
                <c:pt idx="466">
                  <c:v>429000</c:v>
                </c:pt>
                <c:pt idx="467">
                  <c:v>429500</c:v>
                </c:pt>
                <c:pt idx="468">
                  <c:v>429500</c:v>
                </c:pt>
                <c:pt idx="469">
                  <c:v>429500</c:v>
                </c:pt>
                <c:pt idx="470">
                  <c:v>429500</c:v>
                </c:pt>
                <c:pt idx="471">
                  <c:v>429500</c:v>
                </c:pt>
                <c:pt idx="472">
                  <c:v>429000</c:v>
                </c:pt>
                <c:pt idx="473">
                  <c:v>429000</c:v>
                </c:pt>
                <c:pt idx="474">
                  <c:v>430000</c:v>
                </c:pt>
                <c:pt idx="475">
                  <c:v>430000</c:v>
                </c:pt>
                <c:pt idx="476">
                  <c:v>431000</c:v>
                </c:pt>
                <c:pt idx="477">
                  <c:v>430500</c:v>
                </c:pt>
                <c:pt idx="478">
                  <c:v>430500</c:v>
                </c:pt>
                <c:pt idx="479">
                  <c:v>430000</c:v>
                </c:pt>
                <c:pt idx="480">
                  <c:v>430000</c:v>
                </c:pt>
                <c:pt idx="481">
                  <c:v>430000</c:v>
                </c:pt>
                <c:pt idx="482">
                  <c:v>431000</c:v>
                </c:pt>
                <c:pt idx="483">
                  <c:v>431500</c:v>
                </c:pt>
                <c:pt idx="484">
                  <c:v>431500</c:v>
                </c:pt>
                <c:pt idx="485">
                  <c:v>431500</c:v>
                </c:pt>
                <c:pt idx="486">
                  <c:v>432000</c:v>
                </c:pt>
                <c:pt idx="487">
                  <c:v>432000</c:v>
                </c:pt>
                <c:pt idx="488">
                  <c:v>431500</c:v>
                </c:pt>
                <c:pt idx="489">
                  <c:v>432000</c:v>
                </c:pt>
                <c:pt idx="490">
                  <c:v>432000</c:v>
                </c:pt>
                <c:pt idx="491">
                  <c:v>432000</c:v>
                </c:pt>
                <c:pt idx="492">
                  <c:v>431500</c:v>
                </c:pt>
                <c:pt idx="493">
                  <c:v>431000</c:v>
                </c:pt>
                <c:pt idx="494">
                  <c:v>431000</c:v>
                </c:pt>
                <c:pt idx="495">
                  <c:v>431000</c:v>
                </c:pt>
                <c:pt idx="496">
                  <c:v>430000</c:v>
                </c:pt>
                <c:pt idx="497">
                  <c:v>430000</c:v>
                </c:pt>
                <c:pt idx="498">
                  <c:v>429000</c:v>
                </c:pt>
                <c:pt idx="499">
                  <c:v>429000</c:v>
                </c:pt>
                <c:pt idx="500">
                  <c:v>429500</c:v>
                </c:pt>
                <c:pt idx="501">
                  <c:v>429500</c:v>
                </c:pt>
                <c:pt idx="502">
                  <c:v>429000</c:v>
                </c:pt>
                <c:pt idx="503">
                  <c:v>430000</c:v>
                </c:pt>
                <c:pt idx="504">
                  <c:v>430000</c:v>
                </c:pt>
                <c:pt idx="505">
                  <c:v>429000</c:v>
                </c:pt>
                <c:pt idx="506">
                  <c:v>429500</c:v>
                </c:pt>
                <c:pt idx="507">
                  <c:v>429000</c:v>
                </c:pt>
                <c:pt idx="508">
                  <c:v>429000</c:v>
                </c:pt>
                <c:pt idx="509">
                  <c:v>429500</c:v>
                </c:pt>
                <c:pt idx="510">
                  <c:v>429000</c:v>
                </c:pt>
                <c:pt idx="511">
                  <c:v>429500</c:v>
                </c:pt>
                <c:pt idx="512">
                  <c:v>430000</c:v>
                </c:pt>
                <c:pt idx="513">
                  <c:v>429500</c:v>
                </c:pt>
                <c:pt idx="514">
                  <c:v>429500</c:v>
                </c:pt>
                <c:pt idx="515">
                  <c:v>429500</c:v>
                </c:pt>
                <c:pt idx="516">
                  <c:v>430000</c:v>
                </c:pt>
                <c:pt idx="517">
                  <c:v>465000</c:v>
                </c:pt>
                <c:pt idx="518">
                  <c:v>461500</c:v>
                </c:pt>
                <c:pt idx="519">
                  <c:v>461500</c:v>
                </c:pt>
                <c:pt idx="520">
                  <c:v>461500</c:v>
                </c:pt>
                <c:pt idx="521">
                  <c:v>461500</c:v>
                </c:pt>
                <c:pt idx="522">
                  <c:v>461500</c:v>
                </c:pt>
                <c:pt idx="523">
                  <c:v>452000</c:v>
                </c:pt>
                <c:pt idx="524">
                  <c:v>449484</c:v>
                </c:pt>
                <c:pt idx="525">
                  <c:v>444042</c:v>
                </c:pt>
                <c:pt idx="526">
                  <c:v>432000</c:v>
                </c:pt>
                <c:pt idx="527">
                  <c:v>425800</c:v>
                </c:pt>
                <c:pt idx="528">
                  <c:v>432500</c:v>
                </c:pt>
                <c:pt idx="529">
                  <c:v>440000</c:v>
                </c:pt>
                <c:pt idx="530">
                  <c:v>433000</c:v>
                </c:pt>
                <c:pt idx="531">
                  <c:v>433000</c:v>
                </c:pt>
                <c:pt idx="532">
                  <c:v>433000</c:v>
                </c:pt>
                <c:pt idx="533">
                  <c:v>433500</c:v>
                </c:pt>
                <c:pt idx="534">
                  <c:v>452000</c:v>
                </c:pt>
                <c:pt idx="535">
                  <c:v>434000</c:v>
                </c:pt>
                <c:pt idx="536">
                  <c:v>434000</c:v>
                </c:pt>
                <c:pt idx="537">
                  <c:v>433500</c:v>
                </c:pt>
                <c:pt idx="538">
                  <c:v>434000</c:v>
                </c:pt>
                <c:pt idx="539">
                  <c:v>434000</c:v>
                </c:pt>
                <c:pt idx="540">
                  <c:v>434500</c:v>
                </c:pt>
                <c:pt idx="541">
                  <c:v>434500</c:v>
                </c:pt>
                <c:pt idx="542">
                  <c:v>434500</c:v>
                </c:pt>
                <c:pt idx="543">
                  <c:v>434500</c:v>
                </c:pt>
                <c:pt idx="544">
                  <c:v>431500</c:v>
                </c:pt>
                <c:pt idx="545">
                  <c:v>431500</c:v>
                </c:pt>
                <c:pt idx="546">
                  <c:v>431600</c:v>
                </c:pt>
                <c:pt idx="547">
                  <c:v>437000</c:v>
                </c:pt>
                <c:pt idx="548">
                  <c:v>441000</c:v>
                </c:pt>
                <c:pt idx="549">
                  <c:v>442900</c:v>
                </c:pt>
                <c:pt idx="550">
                  <c:v>442900</c:v>
                </c:pt>
                <c:pt idx="551">
                  <c:v>440800</c:v>
                </c:pt>
                <c:pt idx="552">
                  <c:v>439800</c:v>
                </c:pt>
                <c:pt idx="553">
                  <c:v>431300</c:v>
                </c:pt>
                <c:pt idx="554">
                  <c:v>435000</c:v>
                </c:pt>
                <c:pt idx="555">
                  <c:v>433200</c:v>
                </c:pt>
                <c:pt idx="556">
                  <c:v>433500</c:v>
                </c:pt>
                <c:pt idx="557">
                  <c:v>433500</c:v>
                </c:pt>
                <c:pt idx="558">
                  <c:v>428500</c:v>
                </c:pt>
                <c:pt idx="559">
                  <c:v>430600</c:v>
                </c:pt>
                <c:pt idx="560">
                  <c:v>428000</c:v>
                </c:pt>
                <c:pt idx="561">
                  <c:v>426000</c:v>
                </c:pt>
                <c:pt idx="562">
                  <c:v>424500</c:v>
                </c:pt>
                <c:pt idx="563">
                  <c:v>424200</c:v>
                </c:pt>
                <c:pt idx="564">
                  <c:v>424200</c:v>
                </c:pt>
                <c:pt idx="565">
                  <c:v>424500</c:v>
                </c:pt>
                <c:pt idx="566">
                  <c:v>427000</c:v>
                </c:pt>
                <c:pt idx="567">
                  <c:v>432000</c:v>
                </c:pt>
                <c:pt idx="568">
                  <c:v>430500</c:v>
                </c:pt>
                <c:pt idx="569">
                  <c:v>429500</c:v>
                </c:pt>
                <c:pt idx="570">
                  <c:v>430200</c:v>
                </c:pt>
                <c:pt idx="571">
                  <c:v>430200</c:v>
                </c:pt>
                <c:pt idx="572">
                  <c:v>432500</c:v>
                </c:pt>
                <c:pt idx="573">
                  <c:v>429400</c:v>
                </c:pt>
                <c:pt idx="574">
                  <c:v>429000</c:v>
                </c:pt>
                <c:pt idx="575">
                  <c:v>429700</c:v>
                </c:pt>
                <c:pt idx="576">
                  <c:v>428500</c:v>
                </c:pt>
                <c:pt idx="577">
                  <c:v>428600</c:v>
                </c:pt>
                <c:pt idx="578">
                  <c:v>428600</c:v>
                </c:pt>
                <c:pt idx="579">
                  <c:v>428300</c:v>
                </c:pt>
                <c:pt idx="580">
                  <c:v>430500</c:v>
                </c:pt>
                <c:pt idx="581">
                  <c:v>433200</c:v>
                </c:pt>
                <c:pt idx="582">
                  <c:v>437000</c:v>
                </c:pt>
                <c:pt idx="583">
                  <c:v>437000</c:v>
                </c:pt>
                <c:pt idx="584">
                  <c:v>449500</c:v>
                </c:pt>
                <c:pt idx="585">
                  <c:v>449500</c:v>
                </c:pt>
                <c:pt idx="586">
                  <c:v>447500</c:v>
                </c:pt>
                <c:pt idx="587">
                  <c:v>453300</c:v>
                </c:pt>
                <c:pt idx="588">
                  <c:v>455000</c:v>
                </c:pt>
                <c:pt idx="589">
                  <c:v>454000</c:v>
                </c:pt>
                <c:pt idx="590">
                  <c:v>454000</c:v>
                </c:pt>
                <c:pt idx="591">
                  <c:v>453700</c:v>
                </c:pt>
                <c:pt idx="592">
                  <c:v>453700</c:v>
                </c:pt>
                <c:pt idx="593">
                  <c:v>453700</c:v>
                </c:pt>
                <c:pt idx="594">
                  <c:v>455800</c:v>
                </c:pt>
                <c:pt idx="595">
                  <c:v>461500</c:v>
                </c:pt>
                <c:pt idx="596">
                  <c:v>462000</c:v>
                </c:pt>
                <c:pt idx="597">
                  <c:v>473000</c:v>
                </c:pt>
                <c:pt idx="598">
                  <c:v>481500</c:v>
                </c:pt>
                <c:pt idx="599">
                  <c:v>481500</c:v>
                </c:pt>
                <c:pt idx="600">
                  <c:v>484000</c:v>
                </c:pt>
                <c:pt idx="601">
                  <c:v>484000</c:v>
                </c:pt>
                <c:pt idx="602">
                  <c:v>484000</c:v>
                </c:pt>
                <c:pt idx="603">
                  <c:v>478000</c:v>
                </c:pt>
                <c:pt idx="604">
                  <c:v>477700</c:v>
                </c:pt>
                <c:pt idx="605">
                  <c:v>465000</c:v>
                </c:pt>
                <c:pt idx="606">
                  <c:v>465000</c:v>
                </c:pt>
                <c:pt idx="607">
                  <c:v>455500</c:v>
                </c:pt>
                <c:pt idx="608">
                  <c:v>450000</c:v>
                </c:pt>
              </c:numCache>
            </c:numRef>
          </c:val>
          <c:smooth val="1"/>
        </c:ser>
        <c:ser>
          <c:idx val="1"/>
          <c:order val="1"/>
          <c:tx>
            <c:v>22K</c:v>
          </c:tx>
          <c:marker>
            <c:symbol val="none"/>
          </c:marker>
          <c:cat>
            <c:numRef>
              <c:f>Summary!$R$2:$R$610</c:f>
              <c:numCache>
                <c:formatCode>yyyy\-mm\-dd</c:formatCode>
                <c:ptCount val="60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  <c:pt idx="396">
                  <c:v>46054</c:v>
                </c:pt>
                <c:pt idx="397">
                  <c:v>46055</c:v>
                </c:pt>
                <c:pt idx="398">
                  <c:v>46056</c:v>
                </c:pt>
                <c:pt idx="399">
                  <c:v>46057</c:v>
                </c:pt>
                <c:pt idx="400">
                  <c:v>46058</c:v>
                </c:pt>
                <c:pt idx="401">
                  <c:v>46059</c:v>
                </c:pt>
                <c:pt idx="402">
                  <c:v>46060</c:v>
                </c:pt>
                <c:pt idx="403">
                  <c:v>46061</c:v>
                </c:pt>
                <c:pt idx="404">
                  <c:v>46062</c:v>
                </c:pt>
                <c:pt idx="405">
                  <c:v>46063</c:v>
                </c:pt>
                <c:pt idx="406">
                  <c:v>46064</c:v>
                </c:pt>
                <c:pt idx="407">
                  <c:v>46065</c:v>
                </c:pt>
                <c:pt idx="408">
                  <c:v>46066</c:v>
                </c:pt>
                <c:pt idx="409">
                  <c:v>46067</c:v>
                </c:pt>
                <c:pt idx="410">
                  <c:v>46068</c:v>
                </c:pt>
                <c:pt idx="411">
                  <c:v>46069</c:v>
                </c:pt>
                <c:pt idx="412">
                  <c:v>46070</c:v>
                </c:pt>
                <c:pt idx="413">
                  <c:v>46071</c:v>
                </c:pt>
                <c:pt idx="414">
                  <c:v>46072</c:v>
                </c:pt>
                <c:pt idx="415">
                  <c:v>46073</c:v>
                </c:pt>
                <c:pt idx="416">
                  <c:v>46074</c:v>
                </c:pt>
                <c:pt idx="417">
                  <c:v>46075</c:v>
                </c:pt>
                <c:pt idx="418">
                  <c:v>46076</c:v>
                </c:pt>
                <c:pt idx="419">
                  <c:v>46077</c:v>
                </c:pt>
                <c:pt idx="420">
                  <c:v>46078</c:v>
                </c:pt>
                <c:pt idx="421">
                  <c:v>46079</c:v>
                </c:pt>
                <c:pt idx="422">
                  <c:v>46080</c:v>
                </c:pt>
                <c:pt idx="423">
                  <c:v>46081</c:v>
                </c:pt>
                <c:pt idx="424">
                  <c:v>46082</c:v>
                </c:pt>
                <c:pt idx="425">
                  <c:v>46083</c:v>
                </c:pt>
                <c:pt idx="426">
                  <c:v>46084</c:v>
                </c:pt>
                <c:pt idx="427">
                  <c:v>46085</c:v>
                </c:pt>
                <c:pt idx="428">
                  <c:v>46086</c:v>
                </c:pt>
                <c:pt idx="429">
                  <c:v>46087</c:v>
                </c:pt>
                <c:pt idx="430">
                  <c:v>46088</c:v>
                </c:pt>
                <c:pt idx="431">
                  <c:v>46089</c:v>
                </c:pt>
                <c:pt idx="432">
                  <c:v>46090</c:v>
                </c:pt>
                <c:pt idx="433">
                  <c:v>46091</c:v>
                </c:pt>
                <c:pt idx="434">
                  <c:v>46092</c:v>
                </c:pt>
                <c:pt idx="435">
                  <c:v>46093</c:v>
                </c:pt>
                <c:pt idx="436">
                  <c:v>46094</c:v>
                </c:pt>
                <c:pt idx="437">
                  <c:v>46095</c:v>
                </c:pt>
                <c:pt idx="438">
                  <c:v>46096</c:v>
                </c:pt>
                <c:pt idx="439">
                  <c:v>46097</c:v>
                </c:pt>
                <c:pt idx="440">
                  <c:v>46098</c:v>
                </c:pt>
                <c:pt idx="441">
                  <c:v>46099</c:v>
                </c:pt>
                <c:pt idx="442">
                  <c:v>46100</c:v>
                </c:pt>
                <c:pt idx="443">
                  <c:v>46101</c:v>
                </c:pt>
                <c:pt idx="444">
                  <c:v>46102</c:v>
                </c:pt>
                <c:pt idx="445">
                  <c:v>46103</c:v>
                </c:pt>
                <c:pt idx="446">
                  <c:v>46104</c:v>
                </c:pt>
                <c:pt idx="447">
                  <c:v>46105</c:v>
                </c:pt>
                <c:pt idx="448">
                  <c:v>46106</c:v>
                </c:pt>
                <c:pt idx="449">
                  <c:v>46107</c:v>
                </c:pt>
                <c:pt idx="450">
                  <c:v>46108</c:v>
                </c:pt>
                <c:pt idx="451">
                  <c:v>46109</c:v>
                </c:pt>
                <c:pt idx="452">
                  <c:v>46110</c:v>
                </c:pt>
                <c:pt idx="453">
                  <c:v>46111</c:v>
                </c:pt>
                <c:pt idx="454">
                  <c:v>46112</c:v>
                </c:pt>
                <c:pt idx="455">
                  <c:v>46113</c:v>
                </c:pt>
                <c:pt idx="456">
                  <c:v>46114</c:v>
                </c:pt>
                <c:pt idx="457">
                  <c:v>46115</c:v>
                </c:pt>
                <c:pt idx="458">
                  <c:v>46116</c:v>
                </c:pt>
                <c:pt idx="459">
                  <c:v>46117</c:v>
                </c:pt>
                <c:pt idx="460">
                  <c:v>46118</c:v>
                </c:pt>
                <c:pt idx="461">
                  <c:v>46119</c:v>
                </c:pt>
                <c:pt idx="462">
                  <c:v>46120</c:v>
                </c:pt>
                <c:pt idx="463">
                  <c:v>46121</c:v>
                </c:pt>
                <c:pt idx="464">
                  <c:v>46122</c:v>
                </c:pt>
                <c:pt idx="465">
                  <c:v>46123</c:v>
                </c:pt>
                <c:pt idx="466">
                  <c:v>46124</c:v>
                </c:pt>
                <c:pt idx="467">
                  <c:v>46125</c:v>
                </c:pt>
                <c:pt idx="468">
                  <c:v>46126</c:v>
                </c:pt>
                <c:pt idx="469">
                  <c:v>46127</c:v>
                </c:pt>
                <c:pt idx="470">
                  <c:v>46128</c:v>
                </c:pt>
                <c:pt idx="471">
                  <c:v>46129</c:v>
                </c:pt>
                <c:pt idx="472">
                  <c:v>46130</c:v>
                </c:pt>
                <c:pt idx="473">
                  <c:v>46131</c:v>
                </c:pt>
                <c:pt idx="474">
                  <c:v>46132</c:v>
                </c:pt>
                <c:pt idx="475">
                  <c:v>46133</c:v>
                </c:pt>
                <c:pt idx="476">
                  <c:v>46134</c:v>
                </c:pt>
                <c:pt idx="477">
                  <c:v>46135</c:v>
                </c:pt>
                <c:pt idx="478">
                  <c:v>46136</c:v>
                </c:pt>
                <c:pt idx="479">
                  <c:v>46137</c:v>
                </c:pt>
                <c:pt idx="480">
                  <c:v>46138</c:v>
                </c:pt>
                <c:pt idx="481">
                  <c:v>46139</c:v>
                </c:pt>
                <c:pt idx="482">
                  <c:v>46140</c:v>
                </c:pt>
                <c:pt idx="483">
                  <c:v>46141</c:v>
                </c:pt>
                <c:pt idx="484">
                  <c:v>46142</c:v>
                </c:pt>
                <c:pt idx="485">
                  <c:v>46143</c:v>
                </c:pt>
                <c:pt idx="486">
                  <c:v>46144</c:v>
                </c:pt>
                <c:pt idx="487">
                  <c:v>46145</c:v>
                </c:pt>
                <c:pt idx="488">
                  <c:v>46146</c:v>
                </c:pt>
                <c:pt idx="489">
                  <c:v>46147</c:v>
                </c:pt>
                <c:pt idx="490">
                  <c:v>46148</c:v>
                </c:pt>
                <c:pt idx="491">
                  <c:v>46149</c:v>
                </c:pt>
                <c:pt idx="492">
                  <c:v>46150</c:v>
                </c:pt>
                <c:pt idx="493">
                  <c:v>46151</c:v>
                </c:pt>
                <c:pt idx="494">
                  <c:v>46152</c:v>
                </c:pt>
                <c:pt idx="495">
                  <c:v>46153</c:v>
                </c:pt>
                <c:pt idx="496">
                  <c:v>46154</c:v>
                </c:pt>
                <c:pt idx="497">
                  <c:v>46155</c:v>
                </c:pt>
                <c:pt idx="498">
                  <c:v>46156</c:v>
                </c:pt>
                <c:pt idx="499">
                  <c:v>46157</c:v>
                </c:pt>
                <c:pt idx="500">
                  <c:v>46158</c:v>
                </c:pt>
                <c:pt idx="501">
                  <c:v>46159</c:v>
                </c:pt>
                <c:pt idx="502">
                  <c:v>46160</c:v>
                </c:pt>
                <c:pt idx="503">
                  <c:v>46161</c:v>
                </c:pt>
                <c:pt idx="504">
                  <c:v>46162</c:v>
                </c:pt>
                <c:pt idx="505">
                  <c:v>46163</c:v>
                </c:pt>
                <c:pt idx="506">
                  <c:v>46164</c:v>
                </c:pt>
                <c:pt idx="507">
                  <c:v>46165</c:v>
                </c:pt>
                <c:pt idx="508">
                  <c:v>46166</c:v>
                </c:pt>
                <c:pt idx="509">
                  <c:v>46167</c:v>
                </c:pt>
                <c:pt idx="510">
                  <c:v>46168</c:v>
                </c:pt>
                <c:pt idx="511">
                  <c:v>46169</c:v>
                </c:pt>
                <c:pt idx="512">
                  <c:v>46170</c:v>
                </c:pt>
                <c:pt idx="513">
                  <c:v>46171</c:v>
                </c:pt>
                <c:pt idx="514">
                  <c:v>46172</c:v>
                </c:pt>
                <c:pt idx="515">
                  <c:v>46173</c:v>
                </c:pt>
                <c:pt idx="516">
                  <c:v>46174</c:v>
                </c:pt>
                <c:pt idx="517">
                  <c:v>46175</c:v>
                </c:pt>
                <c:pt idx="518">
                  <c:v>46176</c:v>
                </c:pt>
                <c:pt idx="519">
                  <c:v>46177</c:v>
                </c:pt>
                <c:pt idx="520">
                  <c:v>46178</c:v>
                </c:pt>
                <c:pt idx="521">
                  <c:v>46179</c:v>
                </c:pt>
                <c:pt idx="522">
                  <c:v>46180</c:v>
                </c:pt>
                <c:pt idx="523">
                  <c:v>46181</c:v>
                </c:pt>
                <c:pt idx="524">
                  <c:v>46182</c:v>
                </c:pt>
                <c:pt idx="525">
                  <c:v>46183</c:v>
                </c:pt>
                <c:pt idx="526">
                  <c:v>46184</c:v>
                </c:pt>
                <c:pt idx="527">
                  <c:v>46185</c:v>
                </c:pt>
                <c:pt idx="528">
                  <c:v>46186</c:v>
                </c:pt>
                <c:pt idx="529">
                  <c:v>46187</c:v>
                </c:pt>
                <c:pt idx="530">
                  <c:v>46188</c:v>
                </c:pt>
                <c:pt idx="531">
                  <c:v>46189</c:v>
                </c:pt>
                <c:pt idx="532">
                  <c:v>46190</c:v>
                </c:pt>
                <c:pt idx="533">
                  <c:v>46191</c:v>
                </c:pt>
                <c:pt idx="534">
                  <c:v>46192</c:v>
                </c:pt>
                <c:pt idx="535">
                  <c:v>46193</c:v>
                </c:pt>
                <c:pt idx="536">
                  <c:v>46194</c:v>
                </c:pt>
                <c:pt idx="537">
                  <c:v>46195</c:v>
                </c:pt>
                <c:pt idx="538">
                  <c:v>46196</c:v>
                </c:pt>
                <c:pt idx="539">
                  <c:v>46197</c:v>
                </c:pt>
                <c:pt idx="540">
                  <c:v>46198</c:v>
                </c:pt>
                <c:pt idx="541">
                  <c:v>46199</c:v>
                </c:pt>
                <c:pt idx="542">
                  <c:v>46200</c:v>
                </c:pt>
                <c:pt idx="543">
                  <c:v>46201</c:v>
                </c:pt>
                <c:pt idx="544">
                  <c:v>46202</c:v>
                </c:pt>
                <c:pt idx="545">
                  <c:v>46203</c:v>
                </c:pt>
                <c:pt idx="546">
                  <c:v>46204</c:v>
                </c:pt>
                <c:pt idx="547">
                  <c:v>46205</c:v>
                </c:pt>
                <c:pt idx="548">
                  <c:v>46206</c:v>
                </c:pt>
                <c:pt idx="549">
                  <c:v>46207</c:v>
                </c:pt>
                <c:pt idx="550">
                  <c:v>46208</c:v>
                </c:pt>
                <c:pt idx="551">
                  <c:v>46209</c:v>
                </c:pt>
                <c:pt idx="552">
                  <c:v>46210</c:v>
                </c:pt>
                <c:pt idx="553">
                  <c:v>46211</c:v>
                </c:pt>
                <c:pt idx="554">
                  <c:v>46212</c:v>
                </c:pt>
                <c:pt idx="555">
                  <c:v>46213</c:v>
                </c:pt>
                <c:pt idx="556">
                  <c:v>46214</c:v>
                </c:pt>
                <c:pt idx="557">
                  <c:v>46215</c:v>
                </c:pt>
                <c:pt idx="558">
                  <c:v>46216</c:v>
                </c:pt>
                <c:pt idx="559">
                  <c:v>46217</c:v>
                </c:pt>
                <c:pt idx="560">
                  <c:v>46218</c:v>
                </c:pt>
                <c:pt idx="561">
                  <c:v>46219</c:v>
                </c:pt>
                <c:pt idx="562">
                  <c:v>46220</c:v>
                </c:pt>
                <c:pt idx="563">
                  <c:v>46221</c:v>
                </c:pt>
                <c:pt idx="564">
                  <c:v>46222</c:v>
                </c:pt>
                <c:pt idx="565">
                  <c:v>46223</c:v>
                </c:pt>
                <c:pt idx="566">
                  <c:v>46224</c:v>
                </c:pt>
                <c:pt idx="567">
                  <c:v>46225</c:v>
                </c:pt>
                <c:pt idx="568">
                  <c:v>46226</c:v>
                </c:pt>
                <c:pt idx="569">
                  <c:v>46227</c:v>
                </c:pt>
                <c:pt idx="570">
                  <c:v>46228</c:v>
                </c:pt>
                <c:pt idx="571">
                  <c:v>46229</c:v>
                </c:pt>
                <c:pt idx="572">
                  <c:v>46230</c:v>
                </c:pt>
                <c:pt idx="573">
                  <c:v>46231</c:v>
                </c:pt>
                <c:pt idx="574">
                  <c:v>46232</c:v>
                </c:pt>
                <c:pt idx="575">
                  <c:v>46233</c:v>
                </c:pt>
                <c:pt idx="576">
                  <c:v>46234</c:v>
                </c:pt>
                <c:pt idx="577">
                  <c:v>46235</c:v>
                </c:pt>
                <c:pt idx="578">
                  <c:v>46236</c:v>
                </c:pt>
                <c:pt idx="579">
                  <c:v>46237</c:v>
                </c:pt>
                <c:pt idx="580">
                  <c:v>46238</c:v>
                </c:pt>
                <c:pt idx="581">
                  <c:v>46239</c:v>
                </c:pt>
                <c:pt idx="582">
                  <c:v>46240</c:v>
                </c:pt>
                <c:pt idx="583">
                  <c:v>46241</c:v>
                </c:pt>
                <c:pt idx="584">
                  <c:v>46242</c:v>
                </c:pt>
                <c:pt idx="585">
                  <c:v>46243</c:v>
                </c:pt>
                <c:pt idx="586">
                  <c:v>46244</c:v>
                </c:pt>
                <c:pt idx="587">
                  <c:v>46245</c:v>
                </c:pt>
                <c:pt idx="588">
                  <c:v>46246</c:v>
                </c:pt>
                <c:pt idx="589">
                  <c:v>46247</c:v>
                </c:pt>
                <c:pt idx="590">
                  <c:v>46248</c:v>
                </c:pt>
                <c:pt idx="591">
                  <c:v>46249</c:v>
                </c:pt>
                <c:pt idx="592">
                  <c:v>46250</c:v>
                </c:pt>
                <c:pt idx="593">
                  <c:v>46251</c:v>
                </c:pt>
                <c:pt idx="594">
                  <c:v>46252</c:v>
                </c:pt>
                <c:pt idx="595">
                  <c:v>46253</c:v>
                </c:pt>
                <c:pt idx="596">
                  <c:v>46254</c:v>
                </c:pt>
                <c:pt idx="597">
                  <c:v>46255</c:v>
                </c:pt>
                <c:pt idx="598">
                  <c:v>46256</c:v>
                </c:pt>
                <c:pt idx="599">
                  <c:v>46257</c:v>
                </c:pt>
                <c:pt idx="600">
                  <c:v>46258</c:v>
                </c:pt>
                <c:pt idx="601">
                  <c:v>46259</c:v>
                </c:pt>
                <c:pt idx="602">
                  <c:v>46260</c:v>
                </c:pt>
                <c:pt idx="603">
                  <c:v>46261</c:v>
                </c:pt>
                <c:pt idx="604">
                  <c:v>46262</c:v>
                </c:pt>
                <c:pt idx="605">
                  <c:v>46263</c:v>
                </c:pt>
                <c:pt idx="606">
                  <c:v>46264</c:v>
                </c:pt>
                <c:pt idx="607">
                  <c:v>46265</c:v>
                </c:pt>
                <c:pt idx="608">
                  <c:v>46266</c:v>
                </c:pt>
              </c:numCache>
            </c:numRef>
          </c:cat>
          <c:val>
            <c:numRef>
              <c:f>Summary!$T$2:$T$610</c:f>
              <c:numCache>
                <c:formatCode>General</c:formatCode>
                <c:ptCount val="609"/>
                <c:pt idx="0">
                  <c:v>267667</c:v>
                </c:pt>
                <c:pt idx="1">
                  <c:v>265800</c:v>
                </c:pt>
                <c:pt idx="2">
                  <c:v>266300</c:v>
                </c:pt>
                <c:pt idx="3">
                  <c:v>266300</c:v>
                </c:pt>
                <c:pt idx="4">
                  <c:v>266300</c:v>
                </c:pt>
                <c:pt idx="5">
                  <c:v>266800</c:v>
                </c:pt>
                <c:pt idx="6">
                  <c:v>267200</c:v>
                </c:pt>
                <c:pt idx="7">
                  <c:v>267200</c:v>
                </c:pt>
                <c:pt idx="8">
                  <c:v>267200</c:v>
                </c:pt>
                <c:pt idx="9">
                  <c:v>266800</c:v>
                </c:pt>
                <c:pt idx="10">
                  <c:v>266300</c:v>
                </c:pt>
                <c:pt idx="11">
                  <c:v>266300</c:v>
                </c:pt>
                <c:pt idx="12">
                  <c:v>265800</c:v>
                </c:pt>
                <c:pt idx="13">
                  <c:v>266300</c:v>
                </c:pt>
                <c:pt idx="14">
                  <c:v>271333</c:v>
                </c:pt>
                <c:pt idx="15">
                  <c:v>266800</c:v>
                </c:pt>
                <c:pt idx="16">
                  <c:v>266800</c:v>
                </c:pt>
                <c:pt idx="17">
                  <c:v>266300</c:v>
                </c:pt>
                <c:pt idx="18">
                  <c:v>266300</c:v>
                </c:pt>
                <c:pt idx="19">
                  <c:v>266300</c:v>
                </c:pt>
                <c:pt idx="20">
                  <c:v>266300</c:v>
                </c:pt>
                <c:pt idx="21">
                  <c:v>266300</c:v>
                </c:pt>
                <c:pt idx="22">
                  <c:v>266300</c:v>
                </c:pt>
                <c:pt idx="23">
                  <c:v>265800</c:v>
                </c:pt>
                <c:pt idx="24">
                  <c:v>265800</c:v>
                </c:pt>
                <c:pt idx="25">
                  <c:v>265800</c:v>
                </c:pt>
                <c:pt idx="26">
                  <c:v>265800</c:v>
                </c:pt>
                <c:pt idx="27">
                  <c:v>265800</c:v>
                </c:pt>
                <c:pt idx="28">
                  <c:v>265800</c:v>
                </c:pt>
                <c:pt idx="29">
                  <c:v>266300</c:v>
                </c:pt>
                <c:pt idx="30">
                  <c:v>266800</c:v>
                </c:pt>
                <c:pt idx="31">
                  <c:v>273625</c:v>
                </c:pt>
                <c:pt idx="32">
                  <c:v>273625</c:v>
                </c:pt>
                <c:pt idx="33">
                  <c:v>267700</c:v>
                </c:pt>
                <c:pt idx="34">
                  <c:v>267700</c:v>
                </c:pt>
                <c:pt idx="35">
                  <c:v>268100</c:v>
                </c:pt>
                <c:pt idx="36">
                  <c:v>268100</c:v>
                </c:pt>
                <c:pt idx="37">
                  <c:v>268600</c:v>
                </c:pt>
                <c:pt idx="38">
                  <c:v>269000</c:v>
                </c:pt>
                <c:pt idx="39">
                  <c:v>269000</c:v>
                </c:pt>
                <c:pt idx="40">
                  <c:v>270000</c:v>
                </c:pt>
                <c:pt idx="41">
                  <c:v>270900</c:v>
                </c:pt>
                <c:pt idx="42">
                  <c:v>270900</c:v>
                </c:pt>
                <c:pt idx="43">
                  <c:v>271300</c:v>
                </c:pt>
                <c:pt idx="44">
                  <c:v>271300</c:v>
                </c:pt>
                <c:pt idx="45">
                  <c:v>278667</c:v>
                </c:pt>
                <c:pt idx="46">
                  <c:v>278667</c:v>
                </c:pt>
                <c:pt idx="47">
                  <c:v>272200</c:v>
                </c:pt>
                <c:pt idx="48">
                  <c:v>272700</c:v>
                </c:pt>
                <c:pt idx="49">
                  <c:v>272700</c:v>
                </c:pt>
                <c:pt idx="50">
                  <c:v>272700</c:v>
                </c:pt>
                <c:pt idx="51">
                  <c:v>273200</c:v>
                </c:pt>
                <c:pt idx="52">
                  <c:v>273200</c:v>
                </c:pt>
                <c:pt idx="53">
                  <c:v>273200</c:v>
                </c:pt>
                <c:pt idx="54">
                  <c:v>273200</c:v>
                </c:pt>
                <c:pt idx="55">
                  <c:v>273600</c:v>
                </c:pt>
                <c:pt idx="56">
                  <c:v>274100</c:v>
                </c:pt>
                <c:pt idx="57">
                  <c:v>274100</c:v>
                </c:pt>
                <c:pt idx="58">
                  <c:v>274500</c:v>
                </c:pt>
                <c:pt idx="59">
                  <c:v>284167</c:v>
                </c:pt>
                <c:pt idx="60">
                  <c:v>284167</c:v>
                </c:pt>
                <c:pt idx="61">
                  <c:v>283700</c:v>
                </c:pt>
                <c:pt idx="62">
                  <c:v>284200</c:v>
                </c:pt>
                <c:pt idx="63">
                  <c:v>285100</c:v>
                </c:pt>
                <c:pt idx="64">
                  <c:v>285500</c:v>
                </c:pt>
                <c:pt idx="65">
                  <c:v>286000</c:v>
                </c:pt>
                <c:pt idx="66">
                  <c:v>286500</c:v>
                </c:pt>
                <c:pt idx="67">
                  <c:v>286500</c:v>
                </c:pt>
                <c:pt idx="68">
                  <c:v>286500</c:v>
                </c:pt>
                <c:pt idx="69">
                  <c:v>286500</c:v>
                </c:pt>
                <c:pt idx="70">
                  <c:v>287400</c:v>
                </c:pt>
                <c:pt idx="71">
                  <c:v>287800</c:v>
                </c:pt>
                <c:pt idx="72">
                  <c:v>287800</c:v>
                </c:pt>
                <c:pt idx="73">
                  <c:v>292417</c:v>
                </c:pt>
                <c:pt idx="74">
                  <c:v>292417</c:v>
                </c:pt>
                <c:pt idx="75">
                  <c:v>287800</c:v>
                </c:pt>
                <c:pt idx="76">
                  <c:v>288800</c:v>
                </c:pt>
                <c:pt idx="77">
                  <c:v>288300</c:v>
                </c:pt>
                <c:pt idx="78">
                  <c:v>288800</c:v>
                </c:pt>
                <c:pt idx="79">
                  <c:v>289200</c:v>
                </c:pt>
                <c:pt idx="80">
                  <c:v>289700</c:v>
                </c:pt>
                <c:pt idx="81">
                  <c:v>289700</c:v>
                </c:pt>
                <c:pt idx="82">
                  <c:v>289200</c:v>
                </c:pt>
                <c:pt idx="83">
                  <c:v>289200</c:v>
                </c:pt>
                <c:pt idx="84">
                  <c:v>289700</c:v>
                </c:pt>
                <c:pt idx="85">
                  <c:v>289200</c:v>
                </c:pt>
                <c:pt idx="86">
                  <c:v>289200</c:v>
                </c:pt>
                <c:pt idx="87">
                  <c:v>289200</c:v>
                </c:pt>
                <c:pt idx="88">
                  <c:v>289200</c:v>
                </c:pt>
                <c:pt idx="89">
                  <c:v>289700</c:v>
                </c:pt>
                <c:pt idx="90">
                  <c:v>301125</c:v>
                </c:pt>
                <c:pt idx="91">
                  <c:v>303400</c:v>
                </c:pt>
                <c:pt idx="92">
                  <c:v>303900</c:v>
                </c:pt>
                <c:pt idx="93">
                  <c:v>304300</c:v>
                </c:pt>
                <c:pt idx="94">
                  <c:v>304800</c:v>
                </c:pt>
                <c:pt idx="95">
                  <c:v>304800</c:v>
                </c:pt>
                <c:pt idx="96">
                  <c:v>305700</c:v>
                </c:pt>
                <c:pt idx="97">
                  <c:v>305700</c:v>
                </c:pt>
                <c:pt idx="98">
                  <c:v>306200</c:v>
                </c:pt>
                <c:pt idx="99">
                  <c:v>306200</c:v>
                </c:pt>
                <c:pt idx="100">
                  <c:v>307100</c:v>
                </c:pt>
                <c:pt idx="101">
                  <c:v>307500</c:v>
                </c:pt>
                <c:pt idx="102">
                  <c:v>307500</c:v>
                </c:pt>
                <c:pt idx="103">
                  <c:v>308000</c:v>
                </c:pt>
                <c:pt idx="104">
                  <c:v>307083</c:v>
                </c:pt>
                <c:pt idx="105">
                  <c:v>308500</c:v>
                </c:pt>
                <c:pt idx="106">
                  <c:v>308500</c:v>
                </c:pt>
                <c:pt idx="107">
                  <c:v>308900</c:v>
                </c:pt>
                <c:pt idx="108">
                  <c:v>308900</c:v>
                </c:pt>
                <c:pt idx="109">
                  <c:v>308900</c:v>
                </c:pt>
                <c:pt idx="110">
                  <c:v>309800</c:v>
                </c:pt>
                <c:pt idx="111">
                  <c:v>310800</c:v>
                </c:pt>
                <c:pt idx="112">
                  <c:v>310800</c:v>
                </c:pt>
                <c:pt idx="113">
                  <c:v>310800</c:v>
                </c:pt>
                <c:pt idx="114">
                  <c:v>310800</c:v>
                </c:pt>
                <c:pt idx="115">
                  <c:v>310800</c:v>
                </c:pt>
                <c:pt idx="116">
                  <c:v>310800</c:v>
                </c:pt>
                <c:pt idx="117">
                  <c:v>311200</c:v>
                </c:pt>
                <c:pt idx="118">
                  <c:v>311700</c:v>
                </c:pt>
                <c:pt idx="119">
                  <c:v>312100</c:v>
                </c:pt>
                <c:pt idx="120">
                  <c:v>313500</c:v>
                </c:pt>
                <c:pt idx="121">
                  <c:v>312100</c:v>
                </c:pt>
                <c:pt idx="122">
                  <c:v>312600</c:v>
                </c:pt>
                <c:pt idx="123">
                  <c:v>312600</c:v>
                </c:pt>
                <c:pt idx="124">
                  <c:v>313500</c:v>
                </c:pt>
                <c:pt idx="125">
                  <c:v>314000</c:v>
                </c:pt>
                <c:pt idx="126">
                  <c:v>313500</c:v>
                </c:pt>
                <c:pt idx="127">
                  <c:v>314000</c:v>
                </c:pt>
                <c:pt idx="128">
                  <c:v>314400</c:v>
                </c:pt>
                <c:pt idx="129">
                  <c:v>314400</c:v>
                </c:pt>
                <c:pt idx="130">
                  <c:v>314400</c:v>
                </c:pt>
                <c:pt idx="131">
                  <c:v>314900</c:v>
                </c:pt>
                <c:pt idx="132">
                  <c:v>314900</c:v>
                </c:pt>
                <c:pt idx="133">
                  <c:v>315300</c:v>
                </c:pt>
                <c:pt idx="134">
                  <c:v>319000</c:v>
                </c:pt>
                <c:pt idx="135">
                  <c:v>314900</c:v>
                </c:pt>
                <c:pt idx="136">
                  <c:v>315300</c:v>
                </c:pt>
                <c:pt idx="137">
                  <c:v>315300</c:v>
                </c:pt>
                <c:pt idx="138">
                  <c:v>314900</c:v>
                </c:pt>
                <c:pt idx="139">
                  <c:v>314900</c:v>
                </c:pt>
                <c:pt idx="140">
                  <c:v>314900</c:v>
                </c:pt>
                <c:pt idx="141">
                  <c:v>314400</c:v>
                </c:pt>
                <c:pt idx="142">
                  <c:v>314000</c:v>
                </c:pt>
                <c:pt idx="143">
                  <c:v>314000</c:v>
                </c:pt>
                <c:pt idx="144">
                  <c:v>314000</c:v>
                </c:pt>
                <c:pt idx="145">
                  <c:v>314000</c:v>
                </c:pt>
                <c:pt idx="146">
                  <c:v>314900</c:v>
                </c:pt>
                <c:pt idx="147">
                  <c:v>314900</c:v>
                </c:pt>
                <c:pt idx="148">
                  <c:v>314400</c:v>
                </c:pt>
                <c:pt idx="149">
                  <c:v>315300</c:v>
                </c:pt>
                <c:pt idx="150">
                  <c:v>315800</c:v>
                </c:pt>
                <c:pt idx="151">
                  <c:v>325417</c:v>
                </c:pt>
                <c:pt idx="152">
                  <c:v>318500</c:v>
                </c:pt>
                <c:pt idx="153">
                  <c:v>319500</c:v>
                </c:pt>
                <c:pt idx="154">
                  <c:v>319900</c:v>
                </c:pt>
                <c:pt idx="155">
                  <c:v>320400</c:v>
                </c:pt>
                <c:pt idx="156">
                  <c:v>321300</c:v>
                </c:pt>
                <c:pt idx="157">
                  <c:v>322200</c:v>
                </c:pt>
                <c:pt idx="158">
                  <c:v>322200</c:v>
                </c:pt>
                <c:pt idx="159">
                  <c:v>322200</c:v>
                </c:pt>
                <c:pt idx="160">
                  <c:v>323100</c:v>
                </c:pt>
                <c:pt idx="161">
                  <c:v>323600</c:v>
                </c:pt>
                <c:pt idx="162">
                  <c:v>323100</c:v>
                </c:pt>
                <c:pt idx="163">
                  <c:v>323100</c:v>
                </c:pt>
                <c:pt idx="164">
                  <c:v>323100</c:v>
                </c:pt>
                <c:pt idx="165">
                  <c:v>330000</c:v>
                </c:pt>
                <c:pt idx="166">
                  <c:v>324000</c:v>
                </c:pt>
                <c:pt idx="167">
                  <c:v>324500</c:v>
                </c:pt>
                <c:pt idx="168">
                  <c:v>325000</c:v>
                </c:pt>
                <c:pt idx="169">
                  <c:v>325400</c:v>
                </c:pt>
                <c:pt idx="170">
                  <c:v>325000</c:v>
                </c:pt>
                <c:pt idx="171">
                  <c:v>325000</c:v>
                </c:pt>
                <c:pt idx="172">
                  <c:v>325000</c:v>
                </c:pt>
                <c:pt idx="173">
                  <c:v>325000</c:v>
                </c:pt>
                <c:pt idx="174">
                  <c:v>324500</c:v>
                </c:pt>
                <c:pt idx="175">
                  <c:v>324500</c:v>
                </c:pt>
                <c:pt idx="176">
                  <c:v>325000</c:v>
                </c:pt>
                <c:pt idx="177">
                  <c:v>325000</c:v>
                </c:pt>
                <c:pt idx="178">
                  <c:v>324500</c:v>
                </c:pt>
                <c:pt idx="179">
                  <c:v>324500</c:v>
                </c:pt>
                <c:pt idx="180">
                  <c:v>325400</c:v>
                </c:pt>
                <c:pt idx="181">
                  <c:v>335042</c:v>
                </c:pt>
                <c:pt idx="182">
                  <c:v>327200</c:v>
                </c:pt>
                <c:pt idx="183">
                  <c:v>328200</c:v>
                </c:pt>
                <c:pt idx="184">
                  <c:v>328600</c:v>
                </c:pt>
                <c:pt idx="185">
                  <c:v>328600</c:v>
                </c:pt>
                <c:pt idx="186">
                  <c:v>328600</c:v>
                </c:pt>
                <c:pt idx="187">
                  <c:v>329100</c:v>
                </c:pt>
                <c:pt idx="188">
                  <c:v>330000</c:v>
                </c:pt>
                <c:pt idx="189">
                  <c:v>330500</c:v>
                </c:pt>
                <c:pt idx="190">
                  <c:v>330900</c:v>
                </c:pt>
                <c:pt idx="191">
                  <c:v>331800</c:v>
                </c:pt>
                <c:pt idx="192">
                  <c:v>331800</c:v>
                </c:pt>
                <c:pt idx="193">
                  <c:v>331800</c:v>
                </c:pt>
                <c:pt idx="194">
                  <c:v>332800</c:v>
                </c:pt>
                <c:pt idx="195">
                  <c:v>339167</c:v>
                </c:pt>
                <c:pt idx="196">
                  <c:v>333200</c:v>
                </c:pt>
                <c:pt idx="197">
                  <c:v>333700</c:v>
                </c:pt>
                <c:pt idx="198">
                  <c:v>334600</c:v>
                </c:pt>
                <c:pt idx="199">
                  <c:v>335000</c:v>
                </c:pt>
                <c:pt idx="200">
                  <c:v>335000</c:v>
                </c:pt>
                <c:pt idx="201">
                  <c:v>335000</c:v>
                </c:pt>
                <c:pt idx="202">
                  <c:v>335000</c:v>
                </c:pt>
                <c:pt idx="203">
                  <c:v>335500</c:v>
                </c:pt>
                <c:pt idx="204">
                  <c:v>336400</c:v>
                </c:pt>
                <c:pt idx="205">
                  <c:v>336000</c:v>
                </c:pt>
                <c:pt idx="206">
                  <c:v>335500</c:v>
                </c:pt>
                <c:pt idx="207">
                  <c:v>335500</c:v>
                </c:pt>
                <c:pt idx="208">
                  <c:v>336000</c:v>
                </c:pt>
                <c:pt idx="209">
                  <c:v>336000</c:v>
                </c:pt>
                <c:pt idx="210">
                  <c:v>336400</c:v>
                </c:pt>
                <c:pt idx="211">
                  <c:v>336900</c:v>
                </c:pt>
                <c:pt idx="212">
                  <c:v>346500</c:v>
                </c:pt>
                <c:pt idx="213">
                  <c:v>339200</c:v>
                </c:pt>
                <c:pt idx="214">
                  <c:v>339200</c:v>
                </c:pt>
                <c:pt idx="215">
                  <c:v>339600</c:v>
                </c:pt>
                <c:pt idx="216">
                  <c:v>339600</c:v>
                </c:pt>
                <c:pt idx="217">
                  <c:v>340500</c:v>
                </c:pt>
                <c:pt idx="218">
                  <c:v>341500</c:v>
                </c:pt>
                <c:pt idx="219">
                  <c:v>341500</c:v>
                </c:pt>
                <c:pt idx="220">
                  <c:v>342400</c:v>
                </c:pt>
                <c:pt idx="221">
                  <c:v>342400</c:v>
                </c:pt>
                <c:pt idx="222">
                  <c:v>342800</c:v>
                </c:pt>
                <c:pt idx="223">
                  <c:v>343800</c:v>
                </c:pt>
                <c:pt idx="224">
                  <c:v>344200</c:v>
                </c:pt>
                <c:pt idx="225">
                  <c:v>345100</c:v>
                </c:pt>
                <c:pt idx="226">
                  <c:v>351083</c:v>
                </c:pt>
                <c:pt idx="227">
                  <c:v>345100</c:v>
                </c:pt>
                <c:pt idx="228">
                  <c:v>345100</c:v>
                </c:pt>
                <c:pt idx="229">
                  <c:v>345100</c:v>
                </c:pt>
                <c:pt idx="230">
                  <c:v>345100</c:v>
                </c:pt>
                <c:pt idx="231">
                  <c:v>344700</c:v>
                </c:pt>
                <c:pt idx="232">
                  <c:v>344700</c:v>
                </c:pt>
                <c:pt idx="233">
                  <c:v>344200</c:v>
                </c:pt>
                <c:pt idx="234">
                  <c:v>345100</c:v>
                </c:pt>
                <c:pt idx="235">
                  <c:v>345100</c:v>
                </c:pt>
                <c:pt idx="236">
                  <c:v>345600</c:v>
                </c:pt>
                <c:pt idx="237">
                  <c:v>346500</c:v>
                </c:pt>
                <c:pt idx="238">
                  <c:v>346500</c:v>
                </c:pt>
                <c:pt idx="239">
                  <c:v>346500</c:v>
                </c:pt>
                <c:pt idx="240">
                  <c:v>347000</c:v>
                </c:pt>
                <c:pt idx="241">
                  <c:v>346500</c:v>
                </c:pt>
                <c:pt idx="242">
                  <c:v>346500</c:v>
                </c:pt>
                <c:pt idx="243">
                  <c:v>356125</c:v>
                </c:pt>
                <c:pt idx="244">
                  <c:v>348300</c:v>
                </c:pt>
                <c:pt idx="245">
                  <c:v>349700</c:v>
                </c:pt>
                <c:pt idx="246">
                  <c:v>350200</c:v>
                </c:pt>
                <c:pt idx="247">
                  <c:v>350200</c:v>
                </c:pt>
                <c:pt idx="248">
                  <c:v>350600</c:v>
                </c:pt>
                <c:pt idx="249">
                  <c:v>350600</c:v>
                </c:pt>
                <c:pt idx="250">
                  <c:v>351500</c:v>
                </c:pt>
                <c:pt idx="251">
                  <c:v>352500</c:v>
                </c:pt>
                <c:pt idx="252">
                  <c:v>353400</c:v>
                </c:pt>
                <c:pt idx="253">
                  <c:v>353400</c:v>
                </c:pt>
                <c:pt idx="254">
                  <c:v>354300</c:v>
                </c:pt>
                <c:pt idx="255">
                  <c:v>354800</c:v>
                </c:pt>
                <c:pt idx="256">
                  <c:v>354800</c:v>
                </c:pt>
                <c:pt idx="257">
                  <c:v>360250</c:v>
                </c:pt>
                <c:pt idx="258">
                  <c:v>355700</c:v>
                </c:pt>
                <c:pt idx="259">
                  <c:v>355700</c:v>
                </c:pt>
                <c:pt idx="260">
                  <c:v>356100</c:v>
                </c:pt>
                <c:pt idx="261">
                  <c:v>356600</c:v>
                </c:pt>
                <c:pt idx="262">
                  <c:v>356100</c:v>
                </c:pt>
                <c:pt idx="263">
                  <c:v>356100</c:v>
                </c:pt>
                <c:pt idx="264">
                  <c:v>356600</c:v>
                </c:pt>
                <c:pt idx="265">
                  <c:v>357000</c:v>
                </c:pt>
                <c:pt idx="266">
                  <c:v>357000</c:v>
                </c:pt>
                <c:pt idx="267">
                  <c:v>357000</c:v>
                </c:pt>
                <c:pt idx="268">
                  <c:v>356600</c:v>
                </c:pt>
                <c:pt idx="269">
                  <c:v>357000</c:v>
                </c:pt>
                <c:pt idx="270">
                  <c:v>357000</c:v>
                </c:pt>
                <c:pt idx="271">
                  <c:v>356600</c:v>
                </c:pt>
                <c:pt idx="272">
                  <c:v>356600</c:v>
                </c:pt>
                <c:pt idx="273">
                  <c:v>364833</c:v>
                </c:pt>
                <c:pt idx="274">
                  <c:v>358400</c:v>
                </c:pt>
                <c:pt idx="275">
                  <c:v>358900</c:v>
                </c:pt>
                <c:pt idx="276">
                  <c:v>358900</c:v>
                </c:pt>
                <c:pt idx="277">
                  <c:v>358900</c:v>
                </c:pt>
                <c:pt idx="278">
                  <c:v>360200</c:v>
                </c:pt>
                <c:pt idx="279">
                  <c:v>360700</c:v>
                </c:pt>
                <c:pt idx="280">
                  <c:v>362100</c:v>
                </c:pt>
                <c:pt idx="281">
                  <c:v>362100</c:v>
                </c:pt>
                <c:pt idx="282">
                  <c:v>363000</c:v>
                </c:pt>
                <c:pt idx="283">
                  <c:v>363900</c:v>
                </c:pt>
                <c:pt idx="284">
                  <c:v>363900</c:v>
                </c:pt>
                <c:pt idx="285">
                  <c:v>363500</c:v>
                </c:pt>
                <c:pt idx="286">
                  <c:v>363900</c:v>
                </c:pt>
                <c:pt idx="287">
                  <c:v>370333</c:v>
                </c:pt>
                <c:pt idx="288">
                  <c:v>364400</c:v>
                </c:pt>
                <c:pt idx="289">
                  <c:v>364800</c:v>
                </c:pt>
                <c:pt idx="290">
                  <c:v>365800</c:v>
                </c:pt>
                <c:pt idx="291">
                  <c:v>365800</c:v>
                </c:pt>
                <c:pt idx="292">
                  <c:v>365300</c:v>
                </c:pt>
                <c:pt idx="293">
                  <c:v>365800</c:v>
                </c:pt>
                <c:pt idx="294">
                  <c:v>366200</c:v>
                </c:pt>
                <c:pt idx="295">
                  <c:v>365800</c:v>
                </c:pt>
                <c:pt idx="296">
                  <c:v>365300</c:v>
                </c:pt>
                <c:pt idx="297">
                  <c:v>365800</c:v>
                </c:pt>
                <c:pt idx="298">
                  <c:v>365800</c:v>
                </c:pt>
                <c:pt idx="299">
                  <c:v>365800</c:v>
                </c:pt>
                <c:pt idx="300">
                  <c:v>365800</c:v>
                </c:pt>
                <c:pt idx="301">
                  <c:v>365800</c:v>
                </c:pt>
                <c:pt idx="302">
                  <c:v>365800</c:v>
                </c:pt>
                <c:pt idx="303">
                  <c:v>366200</c:v>
                </c:pt>
                <c:pt idx="304">
                  <c:v>374458</c:v>
                </c:pt>
                <c:pt idx="305">
                  <c:v>374458</c:v>
                </c:pt>
                <c:pt idx="306">
                  <c:v>368000</c:v>
                </c:pt>
                <c:pt idx="307">
                  <c:v>369000</c:v>
                </c:pt>
                <c:pt idx="308">
                  <c:v>369400</c:v>
                </c:pt>
                <c:pt idx="309">
                  <c:v>369900</c:v>
                </c:pt>
                <c:pt idx="310">
                  <c:v>370300</c:v>
                </c:pt>
                <c:pt idx="311">
                  <c:v>370800</c:v>
                </c:pt>
                <c:pt idx="312">
                  <c:v>370800</c:v>
                </c:pt>
                <c:pt idx="313">
                  <c:v>370800</c:v>
                </c:pt>
                <c:pt idx="314">
                  <c:v>370800</c:v>
                </c:pt>
                <c:pt idx="315">
                  <c:v>371700</c:v>
                </c:pt>
                <c:pt idx="316">
                  <c:v>372200</c:v>
                </c:pt>
                <c:pt idx="317">
                  <c:v>372200</c:v>
                </c:pt>
                <c:pt idx="318">
                  <c:v>378583</c:v>
                </c:pt>
                <c:pt idx="319">
                  <c:v>378583</c:v>
                </c:pt>
                <c:pt idx="320">
                  <c:v>372600</c:v>
                </c:pt>
                <c:pt idx="321">
                  <c:v>372600</c:v>
                </c:pt>
                <c:pt idx="322">
                  <c:v>372600</c:v>
                </c:pt>
                <c:pt idx="323">
                  <c:v>373500</c:v>
                </c:pt>
                <c:pt idx="324">
                  <c:v>373500</c:v>
                </c:pt>
                <c:pt idx="325">
                  <c:v>374500</c:v>
                </c:pt>
                <c:pt idx="326">
                  <c:v>374500</c:v>
                </c:pt>
                <c:pt idx="327">
                  <c:v>374500</c:v>
                </c:pt>
                <c:pt idx="328">
                  <c:v>374000</c:v>
                </c:pt>
                <c:pt idx="329">
                  <c:v>374500</c:v>
                </c:pt>
                <c:pt idx="330">
                  <c:v>374500</c:v>
                </c:pt>
                <c:pt idx="331">
                  <c:v>375400</c:v>
                </c:pt>
                <c:pt idx="332">
                  <c:v>375400</c:v>
                </c:pt>
                <c:pt idx="333">
                  <c:v>375400</c:v>
                </c:pt>
                <c:pt idx="334">
                  <c:v>380417</c:v>
                </c:pt>
                <c:pt idx="335">
                  <c:v>376300</c:v>
                </c:pt>
                <c:pt idx="336">
                  <c:v>377200</c:v>
                </c:pt>
                <c:pt idx="337">
                  <c:v>377200</c:v>
                </c:pt>
                <c:pt idx="338">
                  <c:v>377700</c:v>
                </c:pt>
                <c:pt idx="339">
                  <c:v>377700</c:v>
                </c:pt>
                <c:pt idx="340">
                  <c:v>377700</c:v>
                </c:pt>
                <c:pt idx="341">
                  <c:v>378100</c:v>
                </c:pt>
                <c:pt idx="342">
                  <c:v>379000</c:v>
                </c:pt>
                <c:pt idx="343">
                  <c:v>380000</c:v>
                </c:pt>
                <c:pt idx="344">
                  <c:v>380400</c:v>
                </c:pt>
                <c:pt idx="345">
                  <c:v>381300</c:v>
                </c:pt>
                <c:pt idx="346">
                  <c:v>381800</c:v>
                </c:pt>
                <c:pt idx="347">
                  <c:v>381800</c:v>
                </c:pt>
                <c:pt idx="348">
                  <c:v>385000</c:v>
                </c:pt>
                <c:pt idx="349">
                  <c:v>382200</c:v>
                </c:pt>
                <c:pt idx="350">
                  <c:v>381800</c:v>
                </c:pt>
                <c:pt idx="351">
                  <c:v>381300</c:v>
                </c:pt>
                <c:pt idx="352">
                  <c:v>380900</c:v>
                </c:pt>
                <c:pt idx="353">
                  <c:v>381300</c:v>
                </c:pt>
                <c:pt idx="354">
                  <c:v>381300</c:v>
                </c:pt>
                <c:pt idx="355">
                  <c:v>380900</c:v>
                </c:pt>
                <c:pt idx="356">
                  <c:v>381300</c:v>
                </c:pt>
                <c:pt idx="357">
                  <c:v>381300</c:v>
                </c:pt>
                <c:pt idx="358">
                  <c:v>381800</c:v>
                </c:pt>
                <c:pt idx="359">
                  <c:v>381800</c:v>
                </c:pt>
                <c:pt idx="360">
                  <c:v>382200</c:v>
                </c:pt>
                <c:pt idx="361">
                  <c:v>382200</c:v>
                </c:pt>
                <c:pt idx="362">
                  <c:v>381800</c:v>
                </c:pt>
                <c:pt idx="363">
                  <c:v>381800</c:v>
                </c:pt>
                <c:pt idx="364">
                  <c:v>382700</c:v>
                </c:pt>
                <c:pt idx="365">
                  <c:v>383200</c:v>
                </c:pt>
                <c:pt idx="366">
                  <c:v>383600</c:v>
                </c:pt>
                <c:pt idx="367">
                  <c:v>384100</c:v>
                </c:pt>
                <c:pt idx="368">
                  <c:v>384100</c:v>
                </c:pt>
                <c:pt idx="369">
                  <c:v>385000</c:v>
                </c:pt>
                <c:pt idx="370">
                  <c:v>384500</c:v>
                </c:pt>
                <c:pt idx="371">
                  <c:v>385500</c:v>
                </c:pt>
                <c:pt idx="372">
                  <c:v>385900</c:v>
                </c:pt>
                <c:pt idx="373">
                  <c:v>385900</c:v>
                </c:pt>
                <c:pt idx="374">
                  <c:v>386400</c:v>
                </c:pt>
                <c:pt idx="375">
                  <c:v>386400</c:v>
                </c:pt>
                <c:pt idx="376">
                  <c:v>386400</c:v>
                </c:pt>
                <c:pt idx="377">
                  <c:v>386800</c:v>
                </c:pt>
                <c:pt idx="378">
                  <c:v>387300</c:v>
                </c:pt>
                <c:pt idx="379">
                  <c:v>387300</c:v>
                </c:pt>
                <c:pt idx="380">
                  <c:v>386800</c:v>
                </c:pt>
                <c:pt idx="381">
                  <c:v>387800</c:v>
                </c:pt>
                <c:pt idx="382">
                  <c:v>387800</c:v>
                </c:pt>
                <c:pt idx="383">
                  <c:v>387800</c:v>
                </c:pt>
                <c:pt idx="384">
                  <c:v>388200</c:v>
                </c:pt>
                <c:pt idx="385">
                  <c:v>387300</c:v>
                </c:pt>
                <c:pt idx="386">
                  <c:v>386800</c:v>
                </c:pt>
                <c:pt idx="387">
                  <c:v>386400</c:v>
                </c:pt>
                <c:pt idx="388">
                  <c:v>385900</c:v>
                </c:pt>
                <c:pt idx="389">
                  <c:v>385900</c:v>
                </c:pt>
                <c:pt idx="390">
                  <c:v>385900</c:v>
                </c:pt>
                <c:pt idx="391">
                  <c:v>386400</c:v>
                </c:pt>
                <c:pt idx="392">
                  <c:v>386400</c:v>
                </c:pt>
                <c:pt idx="393">
                  <c:v>387300</c:v>
                </c:pt>
                <c:pt idx="394">
                  <c:v>387800</c:v>
                </c:pt>
                <c:pt idx="395">
                  <c:v>388200</c:v>
                </c:pt>
                <c:pt idx="396">
                  <c:v>388200</c:v>
                </c:pt>
                <c:pt idx="397">
                  <c:v>387800</c:v>
                </c:pt>
                <c:pt idx="398">
                  <c:v>388200</c:v>
                </c:pt>
                <c:pt idx="399">
                  <c:v>388200</c:v>
                </c:pt>
                <c:pt idx="400">
                  <c:v>387800</c:v>
                </c:pt>
                <c:pt idx="401">
                  <c:v>387800</c:v>
                </c:pt>
                <c:pt idx="402">
                  <c:v>387800</c:v>
                </c:pt>
                <c:pt idx="403">
                  <c:v>387800</c:v>
                </c:pt>
                <c:pt idx="404">
                  <c:v>387800</c:v>
                </c:pt>
                <c:pt idx="405">
                  <c:v>387300</c:v>
                </c:pt>
                <c:pt idx="406">
                  <c:v>388200</c:v>
                </c:pt>
                <c:pt idx="407">
                  <c:v>387800</c:v>
                </c:pt>
                <c:pt idx="408">
                  <c:v>388200</c:v>
                </c:pt>
                <c:pt idx="409">
                  <c:v>388700</c:v>
                </c:pt>
                <c:pt idx="410">
                  <c:v>388700</c:v>
                </c:pt>
                <c:pt idx="411">
                  <c:v>389100</c:v>
                </c:pt>
                <c:pt idx="412">
                  <c:v>389600</c:v>
                </c:pt>
                <c:pt idx="413">
                  <c:v>389600</c:v>
                </c:pt>
                <c:pt idx="414">
                  <c:v>390000</c:v>
                </c:pt>
                <c:pt idx="415">
                  <c:v>389100</c:v>
                </c:pt>
                <c:pt idx="416">
                  <c:v>388700</c:v>
                </c:pt>
                <c:pt idx="417">
                  <c:v>388700</c:v>
                </c:pt>
                <c:pt idx="418">
                  <c:v>389100</c:v>
                </c:pt>
                <c:pt idx="419">
                  <c:v>389100</c:v>
                </c:pt>
                <c:pt idx="420">
                  <c:v>389600</c:v>
                </c:pt>
                <c:pt idx="421">
                  <c:v>390000</c:v>
                </c:pt>
                <c:pt idx="422">
                  <c:v>390000</c:v>
                </c:pt>
                <c:pt idx="423">
                  <c:v>390000</c:v>
                </c:pt>
                <c:pt idx="424">
                  <c:v>390000</c:v>
                </c:pt>
                <c:pt idx="425">
                  <c:v>390500</c:v>
                </c:pt>
                <c:pt idx="426">
                  <c:v>391000</c:v>
                </c:pt>
                <c:pt idx="427">
                  <c:v>391000</c:v>
                </c:pt>
                <c:pt idx="428">
                  <c:v>391900</c:v>
                </c:pt>
                <c:pt idx="429">
                  <c:v>391900</c:v>
                </c:pt>
                <c:pt idx="430">
                  <c:v>392300</c:v>
                </c:pt>
                <c:pt idx="431">
                  <c:v>392300</c:v>
                </c:pt>
                <c:pt idx="432">
                  <c:v>392800</c:v>
                </c:pt>
                <c:pt idx="433">
                  <c:v>392800</c:v>
                </c:pt>
                <c:pt idx="434">
                  <c:v>392300</c:v>
                </c:pt>
                <c:pt idx="435">
                  <c:v>391900</c:v>
                </c:pt>
                <c:pt idx="436">
                  <c:v>391900</c:v>
                </c:pt>
                <c:pt idx="437">
                  <c:v>391900</c:v>
                </c:pt>
                <c:pt idx="438">
                  <c:v>391900</c:v>
                </c:pt>
                <c:pt idx="439">
                  <c:v>391400</c:v>
                </c:pt>
                <c:pt idx="440">
                  <c:v>391900</c:v>
                </c:pt>
                <c:pt idx="441">
                  <c:v>391900</c:v>
                </c:pt>
                <c:pt idx="442">
                  <c:v>392300</c:v>
                </c:pt>
                <c:pt idx="443">
                  <c:v>392800</c:v>
                </c:pt>
                <c:pt idx="444">
                  <c:v>393200</c:v>
                </c:pt>
                <c:pt idx="445">
                  <c:v>393200</c:v>
                </c:pt>
                <c:pt idx="446">
                  <c:v>394200</c:v>
                </c:pt>
                <c:pt idx="447">
                  <c:v>393700</c:v>
                </c:pt>
                <c:pt idx="448">
                  <c:v>393700</c:v>
                </c:pt>
                <c:pt idx="449">
                  <c:v>393700</c:v>
                </c:pt>
                <c:pt idx="450">
                  <c:v>393200</c:v>
                </c:pt>
                <c:pt idx="451">
                  <c:v>393200</c:v>
                </c:pt>
                <c:pt idx="452">
                  <c:v>393200</c:v>
                </c:pt>
                <c:pt idx="453">
                  <c:v>392800</c:v>
                </c:pt>
                <c:pt idx="454">
                  <c:v>392300</c:v>
                </c:pt>
                <c:pt idx="455">
                  <c:v>391900</c:v>
                </c:pt>
                <c:pt idx="456">
                  <c:v>391900</c:v>
                </c:pt>
                <c:pt idx="457">
                  <c:v>391900</c:v>
                </c:pt>
                <c:pt idx="458">
                  <c:v>392300</c:v>
                </c:pt>
                <c:pt idx="459">
                  <c:v>392300</c:v>
                </c:pt>
                <c:pt idx="460">
                  <c:v>392300</c:v>
                </c:pt>
                <c:pt idx="461">
                  <c:v>393200</c:v>
                </c:pt>
                <c:pt idx="462">
                  <c:v>392800</c:v>
                </c:pt>
                <c:pt idx="463">
                  <c:v>392800</c:v>
                </c:pt>
                <c:pt idx="464">
                  <c:v>393200</c:v>
                </c:pt>
                <c:pt idx="465">
                  <c:v>393200</c:v>
                </c:pt>
                <c:pt idx="466">
                  <c:v>393200</c:v>
                </c:pt>
                <c:pt idx="467">
                  <c:v>393700</c:v>
                </c:pt>
                <c:pt idx="468">
                  <c:v>393700</c:v>
                </c:pt>
                <c:pt idx="469">
                  <c:v>393700</c:v>
                </c:pt>
                <c:pt idx="470">
                  <c:v>393700</c:v>
                </c:pt>
                <c:pt idx="471">
                  <c:v>393700</c:v>
                </c:pt>
                <c:pt idx="472">
                  <c:v>393200</c:v>
                </c:pt>
                <c:pt idx="473">
                  <c:v>393200</c:v>
                </c:pt>
                <c:pt idx="474">
                  <c:v>394200</c:v>
                </c:pt>
                <c:pt idx="475">
                  <c:v>394200</c:v>
                </c:pt>
                <c:pt idx="476">
                  <c:v>395100</c:v>
                </c:pt>
                <c:pt idx="477">
                  <c:v>394600</c:v>
                </c:pt>
                <c:pt idx="478">
                  <c:v>394600</c:v>
                </c:pt>
                <c:pt idx="479">
                  <c:v>394200</c:v>
                </c:pt>
                <c:pt idx="480">
                  <c:v>394200</c:v>
                </c:pt>
                <c:pt idx="481">
                  <c:v>394200</c:v>
                </c:pt>
                <c:pt idx="482">
                  <c:v>395100</c:v>
                </c:pt>
                <c:pt idx="483">
                  <c:v>395500</c:v>
                </c:pt>
                <c:pt idx="484">
                  <c:v>395500</c:v>
                </c:pt>
                <c:pt idx="485">
                  <c:v>395500</c:v>
                </c:pt>
                <c:pt idx="486">
                  <c:v>396000</c:v>
                </c:pt>
                <c:pt idx="487">
                  <c:v>396000</c:v>
                </c:pt>
                <c:pt idx="488">
                  <c:v>395500</c:v>
                </c:pt>
                <c:pt idx="489">
                  <c:v>396000</c:v>
                </c:pt>
                <c:pt idx="490">
                  <c:v>396000</c:v>
                </c:pt>
                <c:pt idx="491">
                  <c:v>396000</c:v>
                </c:pt>
                <c:pt idx="492">
                  <c:v>395500</c:v>
                </c:pt>
                <c:pt idx="493">
                  <c:v>395100</c:v>
                </c:pt>
                <c:pt idx="494">
                  <c:v>395100</c:v>
                </c:pt>
                <c:pt idx="495">
                  <c:v>395100</c:v>
                </c:pt>
                <c:pt idx="496">
                  <c:v>394200</c:v>
                </c:pt>
                <c:pt idx="497">
                  <c:v>394200</c:v>
                </c:pt>
                <c:pt idx="498">
                  <c:v>393200</c:v>
                </c:pt>
                <c:pt idx="499">
                  <c:v>393200</c:v>
                </c:pt>
                <c:pt idx="500">
                  <c:v>393700</c:v>
                </c:pt>
                <c:pt idx="501">
                  <c:v>393700</c:v>
                </c:pt>
                <c:pt idx="502">
                  <c:v>393200</c:v>
                </c:pt>
                <c:pt idx="503">
                  <c:v>394200</c:v>
                </c:pt>
                <c:pt idx="504">
                  <c:v>394200</c:v>
                </c:pt>
                <c:pt idx="505">
                  <c:v>393200</c:v>
                </c:pt>
                <c:pt idx="506">
                  <c:v>393700</c:v>
                </c:pt>
                <c:pt idx="507">
                  <c:v>393200</c:v>
                </c:pt>
                <c:pt idx="508">
                  <c:v>393200</c:v>
                </c:pt>
                <c:pt idx="509">
                  <c:v>393700</c:v>
                </c:pt>
                <c:pt idx="510">
                  <c:v>393200</c:v>
                </c:pt>
                <c:pt idx="511">
                  <c:v>393700</c:v>
                </c:pt>
                <c:pt idx="512">
                  <c:v>394200</c:v>
                </c:pt>
                <c:pt idx="513">
                  <c:v>393700</c:v>
                </c:pt>
                <c:pt idx="514">
                  <c:v>393700</c:v>
                </c:pt>
                <c:pt idx="515">
                  <c:v>393700</c:v>
                </c:pt>
                <c:pt idx="516">
                  <c:v>394200</c:v>
                </c:pt>
                <c:pt idx="517">
                  <c:v>426361</c:v>
                </c:pt>
                <c:pt idx="518">
                  <c:v>423151</c:v>
                </c:pt>
                <c:pt idx="519">
                  <c:v>423151</c:v>
                </c:pt>
                <c:pt idx="520">
                  <c:v>423151</c:v>
                </c:pt>
                <c:pt idx="521">
                  <c:v>423151</c:v>
                </c:pt>
                <c:pt idx="522">
                  <c:v>423151</c:v>
                </c:pt>
                <c:pt idx="523">
                  <c:v>414440</c:v>
                </c:pt>
                <c:pt idx="524">
                  <c:v>412032</c:v>
                </c:pt>
                <c:pt idx="525">
                  <c:v>407000</c:v>
                </c:pt>
                <c:pt idx="526">
                  <c:v>396000</c:v>
                </c:pt>
                <c:pt idx="527">
                  <c:v>390417</c:v>
                </c:pt>
                <c:pt idx="528">
                  <c:v>396500</c:v>
                </c:pt>
                <c:pt idx="529">
                  <c:v>403437</c:v>
                </c:pt>
                <c:pt idx="530">
                  <c:v>396900</c:v>
                </c:pt>
                <c:pt idx="531">
                  <c:v>396900</c:v>
                </c:pt>
                <c:pt idx="532">
                  <c:v>396900</c:v>
                </c:pt>
                <c:pt idx="533">
                  <c:v>397400</c:v>
                </c:pt>
                <c:pt idx="534">
                  <c:v>414440</c:v>
                </c:pt>
                <c:pt idx="535">
                  <c:v>397800</c:v>
                </c:pt>
                <c:pt idx="536">
                  <c:v>397800</c:v>
                </c:pt>
                <c:pt idx="537">
                  <c:v>397400</c:v>
                </c:pt>
                <c:pt idx="538">
                  <c:v>397800</c:v>
                </c:pt>
                <c:pt idx="539">
                  <c:v>397800</c:v>
                </c:pt>
                <c:pt idx="540">
                  <c:v>398394</c:v>
                </c:pt>
                <c:pt idx="541">
                  <c:v>398394</c:v>
                </c:pt>
                <c:pt idx="542">
                  <c:v>398292</c:v>
                </c:pt>
                <c:pt idx="543">
                  <c:v>398292</c:v>
                </c:pt>
                <c:pt idx="544">
                  <c:v>395542</c:v>
                </c:pt>
                <c:pt idx="545">
                  <c:v>395542</c:v>
                </c:pt>
                <c:pt idx="546">
                  <c:v>395633</c:v>
                </c:pt>
                <c:pt idx="547">
                  <c:v>400583</c:v>
                </c:pt>
                <c:pt idx="548">
                  <c:v>404250</c:v>
                </c:pt>
                <c:pt idx="549">
                  <c:v>405992</c:v>
                </c:pt>
                <c:pt idx="550">
                  <c:v>405992</c:v>
                </c:pt>
                <c:pt idx="551">
                  <c:v>404067</c:v>
                </c:pt>
                <c:pt idx="552">
                  <c:v>403150</c:v>
                </c:pt>
                <c:pt idx="553">
                  <c:v>395358</c:v>
                </c:pt>
                <c:pt idx="554">
                  <c:v>398750</c:v>
                </c:pt>
                <c:pt idx="555">
                  <c:v>397100</c:v>
                </c:pt>
                <c:pt idx="556">
                  <c:v>397375</c:v>
                </c:pt>
                <c:pt idx="557">
                  <c:v>397375</c:v>
                </c:pt>
                <c:pt idx="558">
                  <c:v>392792</c:v>
                </c:pt>
                <c:pt idx="559">
                  <c:v>394717</c:v>
                </c:pt>
                <c:pt idx="560">
                  <c:v>392333</c:v>
                </c:pt>
                <c:pt idx="561">
                  <c:v>390500</c:v>
                </c:pt>
                <c:pt idx="562">
                  <c:v>389125</c:v>
                </c:pt>
                <c:pt idx="563">
                  <c:v>388850</c:v>
                </c:pt>
                <c:pt idx="564">
                  <c:v>388850</c:v>
                </c:pt>
                <c:pt idx="565">
                  <c:v>389125</c:v>
                </c:pt>
                <c:pt idx="566">
                  <c:v>391417</c:v>
                </c:pt>
                <c:pt idx="567">
                  <c:v>396000</c:v>
                </c:pt>
                <c:pt idx="568">
                  <c:v>394625</c:v>
                </c:pt>
                <c:pt idx="569">
                  <c:v>393708</c:v>
                </c:pt>
                <c:pt idx="570">
                  <c:v>394350</c:v>
                </c:pt>
                <c:pt idx="571">
                  <c:v>394350</c:v>
                </c:pt>
                <c:pt idx="572">
                  <c:v>396458</c:v>
                </c:pt>
                <c:pt idx="573">
                  <c:v>393617</c:v>
                </c:pt>
                <c:pt idx="574">
                  <c:v>393250</c:v>
                </c:pt>
                <c:pt idx="575">
                  <c:v>393892</c:v>
                </c:pt>
                <c:pt idx="576">
                  <c:v>392792</c:v>
                </c:pt>
                <c:pt idx="577">
                  <c:v>392883</c:v>
                </c:pt>
                <c:pt idx="578">
                  <c:v>392883</c:v>
                </c:pt>
                <c:pt idx="579">
                  <c:v>392608</c:v>
                </c:pt>
                <c:pt idx="580">
                  <c:v>394625</c:v>
                </c:pt>
                <c:pt idx="581">
                  <c:v>397100</c:v>
                </c:pt>
                <c:pt idx="582">
                  <c:v>400583</c:v>
                </c:pt>
                <c:pt idx="583">
                  <c:v>400583</c:v>
                </c:pt>
                <c:pt idx="584">
                  <c:v>412042</c:v>
                </c:pt>
                <c:pt idx="585">
                  <c:v>412042</c:v>
                </c:pt>
                <c:pt idx="586">
                  <c:v>410208</c:v>
                </c:pt>
                <c:pt idx="587">
                  <c:v>415525</c:v>
                </c:pt>
                <c:pt idx="588">
                  <c:v>417083</c:v>
                </c:pt>
                <c:pt idx="589">
                  <c:v>416167</c:v>
                </c:pt>
                <c:pt idx="590">
                  <c:v>416167</c:v>
                </c:pt>
                <c:pt idx="591">
                  <c:v>415892</c:v>
                </c:pt>
                <c:pt idx="592">
                  <c:v>415892</c:v>
                </c:pt>
                <c:pt idx="593">
                  <c:v>415892</c:v>
                </c:pt>
                <c:pt idx="594">
                  <c:v>417817</c:v>
                </c:pt>
                <c:pt idx="595">
                  <c:v>423042</c:v>
                </c:pt>
                <c:pt idx="596">
                  <c:v>423500</c:v>
                </c:pt>
                <c:pt idx="597">
                  <c:v>433583</c:v>
                </c:pt>
                <c:pt idx="598">
                  <c:v>441375</c:v>
                </c:pt>
                <c:pt idx="599">
                  <c:v>441375</c:v>
                </c:pt>
                <c:pt idx="600">
                  <c:v>443667</c:v>
                </c:pt>
                <c:pt idx="601">
                  <c:v>443667</c:v>
                </c:pt>
                <c:pt idx="602">
                  <c:v>443667</c:v>
                </c:pt>
                <c:pt idx="603">
                  <c:v>438167</c:v>
                </c:pt>
                <c:pt idx="604">
                  <c:v>437892</c:v>
                </c:pt>
                <c:pt idx="605">
                  <c:v>426250</c:v>
                </c:pt>
                <c:pt idx="606">
                  <c:v>426250</c:v>
                </c:pt>
                <c:pt idx="607">
                  <c:v>417542</c:v>
                </c:pt>
                <c:pt idx="608">
                  <c:v>412500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42480384"/>
        <c:axId val="-942486912"/>
      </c:lineChart>
      <c:dateAx>
        <c:axId val="-942480384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-942486912"/>
        <c:crosses val="autoZero"/>
        <c:auto val="1"/>
        <c:lblOffset val="100"/>
        <c:baseTimeUnit val="days"/>
      </c:dateAx>
      <c:valAx>
        <c:axId val="-9424869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942480384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DailyRegressionTable" displayName="DailyRegressionTable" ref="A1:H610" totalsRowShown="0">
  <tableColumns count="8">
    <tableColumn id="1" name="Date"/>
    <tableColumn id="3" name="Day_of_Week"/>
    <tableColumn id="4" name="Day_of_Week_Num"/>
    <tableColumn id="5" name="24K_PKR_per_Tola"/>
    <tableColumn id="6" name="24K_Daily_Change_PKR"/>
    <tableColumn id="7" name="24K_Daily_Change_Pct"/>
    <tableColumn id="13" name="Is_Observed"/>
    <tableColumn id="15" name="Fill_Basis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9" sqref="A9:XFD9"/>
    </sheetView>
  </sheetViews>
  <sheetFormatPr defaultRowHeight="13.8"/>
  <cols>
    <col min="1" max="1" width="24" customWidth="1"/>
    <col min="2" max="2" width="90" customWidth="1"/>
  </cols>
  <sheetData>
    <row r="1" spans="1:6" ht="22.35" customHeight="1">
      <c r="A1" s="12" t="s">
        <v>0</v>
      </c>
      <c r="B1" s="12"/>
      <c r="C1" s="12"/>
      <c r="D1" s="12"/>
      <c r="E1" s="12"/>
      <c r="F1" s="12"/>
    </row>
    <row r="2" spans="1:6">
      <c r="A2" s="3"/>
      <c r="B2" s="3"/>
      <c r="C2" s="3"/>
      <c r="D2" s="3"/>
      <c r="E2" s="3"/>
      <c r="F2" s="3"/>
    </row>
    <row r="3" spans="1:6">
      <c r="A3" s="4" t="s">
        <v>1</v>
      </c>
      <c r="B3" s="4" t="s">
        <v>2</v>
      </c>
      <c r="C3" s="3"/>
      <c r="D3" s="3"/>
      <c r="E3" s="3"/>
      <c r="F3" s="3"/>
    </row>
    <row r="4" spans="1:6">
      <c r="A4" s="5" t="s">
        <v>3</v>
      </c>
      <c r="B4" s="6" t="s">
        <v>4</v>
      </c>
      <c r="C4" s="3"/>
      <c r="D4" s="3"/>
      <c r="E4" s="3"/>
      <c r="F4" s="3"/>
    </row>
    <row r="5" spans="1:6">
      <c r="A5" s="5" t="s">
        <v>5</v>
      </c>
      <c r="B5" s="6" t="s">
        <v>6</v>
      </c>
      <c r="C5" s="3"/>
      <c r="D5" s="3"/>
      <c r="E5" s="3"/>
      <c r="F5" s="3"/>
    </row>
    <row r="6" spans="1:6">
      <c r="A6" s="5" t="s">
        <v>7</v>
      </c>
      <c r="B6" s="6" t="s">
        <v>8</v>
      </c>
      <c r="C6" s="3"/>
      <c r="D6" s="3"/>
      <c r="E6" s="3"/>
      <c r="F6" s="3"/>
    </row>
    <row r="7" spans="1:6" ht="27.6">
      <c r="A7" s="5" t="s">
        <v>9</v>
      </c>
      <c r="B7" s="6" t="s">
        <v>10</v>
      </c>
      <c r="C7" s="3"/>
      <c r="D7" s="3"/>
      <c r="E7" s="3"/>
      <c r="F7" s="3"/>
    </row>
    <row r="8" spans="1:6">
      <c r="A8" s="5" t="s">
        <v>11</v>
      </c>
      <c r="B8" s="6" t="s">
        <v>12</v>
      </c>
      <c r="C8" s="3"/>
      <c r="D8" s="3"/>
      <c r="E8" s="3"/>
      <c r="F8" s="3"/>
    </row>
    <row r="9" spans="1:6" ht="27.6">
      <c r="A9" s="5" t="s">
        <v>13</v>
      </c>
      <c r="B9" s="6" t="s">
        <v>14</v>
      </c>
      <c r="C9" s="3"/>
      <c r="D9" s="3"/>
      <c r="E9" s="3"/>
      <c r="F9" s="3"/>
    </row>
    <row r="10" spans="1:6" ht="27.6">
      <c r="A10" s="5" t="s">
        <v>15</v>
      </c>
      <c r="B10" s="6" t="s">
        <v>16</v>
      </c>
      <c r="C10" s="3"/>
      <c r="D10" s="3"/>
      <c r="E10" s="3"/>
      <c r="F10" s="3"/>
    </row>
    <row r="11" spans="1:6">
      <c r="A11" s="5" t="s">
        <v>17</v>
      </c>
      <c r="B11" s="6" t="s">
        <v>18</v>
      </c>
      <c r="C11" s="3"/>
      <c r="D11" s="3"/>
      <c r="E11" s="3"/>
      <c r="F11" s="3"/>
    </row>
    <row r="12" spans="1:6">
      <c r="A12" s="5" t="s">
        <v>19</v>
      </c>
      <c r="B12" s="6" t="s">
        <v>20</v>
      </c>
      <c r="C12" s="3"/>
      <c r="D12" s="3"/>
      <c r="E12" s="3"/>
      <c r="F12" s="3"/>
    </row>
    <row r="13" spans="1:6">
      <c r="A13" s="7" t="s">
        <v>21</v>
      </c>
      <c r="B13" s="8" t="s">
        <v>22</v>
      </c>
      <c r="C13" s="3"/>
      <c r="D13" s="3"/>
      <c r="E13" s="3"/>
      <c r="F13" s="3"/>
    </row>
    <row r="14" spans="1:6" ht="27.6">
      <c r="A14" s="7" t="s">
        <v>23</v>
      </c>
      <c r="B14" s="8" t="s">
        <v>24</v>
      </c>
      <c r="C14" s="3"/>
      <c r="D14" s="3"/>
      <c r="E14" s="3"/>
      <c r="F14" s="3"/>
    </row>
    <row r="15" spans="1:6" ht="27.6">
      <c r="A15" s="7" t="s">
        <v>25</v>
      </c>
      <c r="B15" s="8" t="s">
        <v>26</v>
      </c>
      <c r="C15" s="3"/>
      <c r="D15" s="3"/>
      <c r="E15" s="3"/>
      <c r="F15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0"/>
  <sheetViews>
    <sheetView workbookViewId="0">
      <selection sqref="A1:H1"/>
    </sheetView>
  </sheetViews>
  <sheetFormatPr defaultRowHeight="13.8"/>
  <cols>
    <col min="1" max="1" width="27" customWidth="1"/>
    <col min="2" max="2" width="18" customWidth="1"/>
    <col min="4" max="4" width="27" customWidth="1"/>
    <col min="5" max="5" width="35" customWidth="1"/>
    <col min="18" max="20" width="14" customWidth="1"/>
  </cols>
  <sheetData>
    <row r="1" spans="1:20" ht="22.35" customHeight="1">
      <c r="A1" s="13" t="s">
        <v>27</v>
      </c>
      <c r="B1" s="13"/>
      <c r="C1" s="13"/>
      <c r="D1" s="13"/>
      <c r="E1" s="13"/>
      <c r="F1" s="13"/>
      <c r="G1" s="13"/>
      <c r="H1" s="13"/>
      <c r="R1" t="s">
        <v>28</v>
      </c>
      <c r="S1" t="s">
        <v>29</v>
      </c>
      <c r="T1" t="s">
        <v>30</v>
      </c>
    </row>
    <row r="2" spans="1:20">
      <c r="R2" s="9">
        <v>45658</v>
      </c>
      <c r="S2">
        <v>292000</v>
      </c>
      <c r="T2">
        <v>267667</v>
      </c>
    </row>
    <row r="3" spans="1:20">
      <c r="A3" s="1" t="s">
        <v>31</v>
      </c>
      <c r="B3" s="1" t="s">
        <v>32</v>
      </c>
      <c r="D3" s="1" t="s">
        <v>31</v>
      </c>
      <c r="E3" s="1" t="s">
        <v>32</v>
      </c>
      <c r="R3" s="9">
        <v>45659</v>
      </c>
      <c r="S3">
        <v>290000</v>
      </c>
      <c r="T3">
        <v>265800</v>
      </c>
    </row>
    <row r="4" spans="1:20">
      <c r="A4" s="2" t="s">
        <v>33</v>
      </c>
      <c r="B4" s="9">
        <v>45658</v>
      </c>
      <c r="D4" s="2" t="s">
        <v>34</v>
      </c>
      <c r="E4" s="10">
        <v>267667</v>
      </c>
      <c r="R4" s="9">
        <v>45660</v>
      </c>
      <c r="S4">
        <v>290500</v>
      </c>
      <c r="T4">
        <v>266300</v>
      </c>
    </row>
    <row r="5" spans="1:20">
      <c r="A5" s="2" t="s">
        <v>35</v>
      </c>
      <c r="B5" s="9">
        <v>46266</v>
      </c>
      <c r="D5" s="2" t="s">
        <v>36</v>
      </c>
      <c r="E5" s="10">
        <v>412500</v>
      </c>
      <c r="R5" s="9">
        <v>45661</v>
      </c>
      <c r="S5">
        <v>290500</v>
      </c>
      <c r="T5">
        <v>266300</v>
      </c>
    </row>
    <row r="6" spans="1:20">
      <c r="A6" s="2" t="s">
        <v>37</v>
      </c>
      <c r="B6">
        <v>609</v>
      </c>
      <c r="D6" s="2" t="s">
        <v>38</v>
      </c>
      <c r="E6" s="10">
        <v>158000</v>
      </c>
      <c r="R6" s="9">
        <v>45662</v>
      </c>
      <c r="S6">
        <v>290500</v>
      </c>
      <c r="T6">
        <v>266300</v>
      </c>
    </row>
    <row r="7" spans="1:20">
      <c r="A7" s="2" t="s">
        <v>39</v>
      </c>
      <c r="B7">
        <v>535</v>
      </c>
      <c r="D7" s="2" t="s">
        <v>40</v>
      </c>
      <c r="E7" s="10">
        <v>144833</v>
      </c>
      <c r="R7" s="9">
        <v>45663</v>
      </c>
      <c r="S7">
        <v>291000</v>
      </c>
      <c r="T7">
        <v>266800</v>
      </c>
    </row>
    <row r="8" spans="1:20">
      <c r="A8" s="2" t="s">
        <v>41</v>
      </c>
      <c r="B8">
        <v>74</v>
      </c>
      <c r="D8" s="2" t="s">
        <v>42</v>
      </c>
      <c r="E8" t="s">
        <v>43</v>
      </c>
      <c r="R8" s="9">
        <v>45664</v>
      </c>
      <c r="S8">
        <v>291500</v>
      </c>
      <c r="T8">
        <v>267200</v>
      </c>
    </row>
    <row r="9" spans="1:20">
      <c r="A9" s="2" t="s">
        <v>44</v>
      </c>
      <c r="B9" s="10">
        <v>292000</v>
      </c>
      <c r="R9" s="9">
        <v>45665</v>
      </c>
      <c r="S9">
        <v>291500</v>
      </c>
      <c r="T9">
        <v>267200</v>
      </c>
    </row>
    <row r="10" spans="1:20">
      <c r="A10" s="2" t="s">
        <v>45</v>
      </c>
      <c r="B10" s="10">
        <v>450000</v>
      </c>
      <c r="R10" s="9">
        <v>45666</v>
      </c>
      <c r="S10">
        <v>291500</v>
      </c>
      <c r="T10">
        <v>267200</v>
      </c>
    </row>
    <row r="11" spans="1:20">
      <c r="R11" s="9">
        <v>45667</v>
      </c>
      <c r="S11">
        <v>291000</v>
      </c>
      <c r="T11">
        <v>266800</v>
      </c>
    </row>
    <row r="12" spans="1:20">
      <c r="A12" s="14" t="s">
        <v>46</v>
      </c>
      <c r="B12" s="14"/>
      <c r="C12" s="14"/>
      <c r="D12" s="14"/>
      <c r="E12" s="14"/>
      <c r="F12" s="14"/>
      <c r="G12" s="14"/>
      <c r="H12" s="14"/>
      <c r="R12" s="9">
        <v>45668</v>
      </c>
      <c r="S12">
        <v>290500</v>
      </c>
      <c r="T12">
        <v>266300</v>
      </c>
    </row>
    <row r="13" spans="1:20">
      <c r="A13" s="14"/>
      <c r="B13" s="14"/>
      <c r="C13" s="14"/>
      <c r="D13" s="14"/>
      <c r="E13" s="14"/>
      <c r="F13" s="14"/>
      <c r="G13" s="14"/>
      <c r="H13" s="14"/>
      <c r="R13" s="9">
        <v>45669</v>
      </c>
      <c r="S13">
        <v>290500</v>
      </c>
      <c r="T13">
        <v>266300</v>
      </c>
    </row>
    <row r="14" spans="1:20">
      <c r="A14" s="14"/>
      <c r="B14" s="14"/>
      <c r="C14" s="14"/>
      <c r="D14" s="14"/>
      <c r="E14" s="14"/>
      <c r="F14" s="14"/>
      <c r="G14" s="14"/>
      <c r="H14" s="14"/>
      <c r="R14" s="9">
        <v>45670</v>
      </c>
      <c r="S14">
        <v>290000</v>
      </c>
      <c r="T14">
        <v>265800</v>
      </c>
    </row>
    <row r="15" spans="1:20">
      <c r="R15" s="9">
        <v>45671</v>
      </c>
      <c r="S15">
        <v>290500</v>
      </c>
      <c r="T15">
        <v>266300</v>
      </c>
    </row>
    <row r="16" spans="1:20">
      <c r="R16" s="9">
        <v>45672</v>
      </c>
      <c r="S16">
        <v>296000</v>
      </c>
      <c r="T16">
        <v>271333</v>
      </c>
    </row>
    <row r="17" spans="18:20">
      <c r="R17" s="9">
        <v>45673</v>
      </c>
      <c r="S17">
        <v>291000</v>
      </c>
      <c r="T17">
        <v>266800</v>
      </c>
    </row>
    <row r="18" spans="18:20">
      <c r="R18" s="9">
        <v>45674</v>
      </c>
      <c r="S18">
        <v>291000</v>
      </c>
      <c r="T18">
        <v>266800</v>
      </c>
    </row>
    <row r="19" spans="18:20">
      <c r="R19" s="9">
        <v>45675</v>
      </c>
      <c r="S19">
        <v>290500</v>
      </c>
      <c r="T19">
        <v>266300</v>
      </c>
    </row>
    <row r="20" spans="18:20">
      <c r="R20" s="9">
        <v>45676</v>
      </c>
      <c r="S20">
        <v>290500</v>
      </c>
      <c r="T20">
        <v>266300</v>
      </c>
    </row>
    <row r="21" spans="18:20">
      <c r="R21" s="9">
        <v>45677</v>
      </c>
      <c r="S21">
        <v>290500</v>
      </c>
      <c r="T21">
        <v>266300</v>
      </c>
    </row>
    <row r="22" spans="18:20">
      <c r="R22" s="9">
        <v>45678</v>
      </c>
      <c r="S22">
        <v>290500</v>
      </c>
      <c r="T22">
        <v>266300</v>
      </c>
    </row>
    <row r="23" spans="18:20">
      <c r="R23" s="9">
        <v>45679</v>
      </c>
      <c r="S23">
        <v>290500</v>
      </c>
      <c r="T23">
        <v>266300</v>
      </c>
    </row>
    <row r="24" spans="18:20">
      <c r="R24" s="9">
        <v>45680</v>
      </c>
      <c r="S24">
        <v>290500</v>
      </c>
      <c r="T24">
        <v>266300</v>
      </c>
    </row>
    <row r="25" spans="18:20">
      <c r="R25" s="9">
        <v>45681</v>
      </c>
      <c r="S25">
        <v>290000</v>
      </c>
      <c r="T25">
        <v>265800</v>
      </c>
    </row>
    <row r="26" spans="18:20">
      <c r="R26" s="9">
        <v>45682</v>
      </c>
      <c r="S26">
        <v>290000</v>
      </c>
      <c r="T26">
        <v>265800</v>
      </c>
    </row>
    <row r="27" spans="18:20">
      <c r="R27" s="9">
        <v>45683</v>
      </c>
      <c r="S27">
        <v>290000</v>
      </c>
      <c r="T27">
        <v>265800</v>
      </c>
    </row>
    <row r="28" spans="18:20">
      <c r="R28" s="9">
        <v>45684</v>
      </c>
      <c r="S28">
        <v>290000</v>
      </c>
      <c r="T28">
        <v>265800</v>
      </c>
    </row>
    <row r="29" spans="18:20">
      <c r="R29" s="9">
        <v>45685</v>
      </c>
      <c r="S29">
        <v>290000</v>
      </c>
      <c r="T29">
        <v>265800</v>
      </c>
    </row>
    <row r="30" spans="18:20">
      <c r="R30" s="9">
        <v>45686</v>
      </c>
      <c r="S30">
        <v>290000</v>
      </c>
      <c r="T30">
        <v>265800</v>
      </c>
    </row>
    <row r="31" spans="18:20">
      <c r="R31" s="9">
        <v>45687</v>
      </c>
      <c r="S31">
        <v>290500</v>
      </c>
      <c r="T31">
        <v>266300</v>
      </c>
    </row>
    <row r="32" spans="18:20">
      <c r="R32" s="9">
        <v>45688</v>
      </c>
      <c r="S32">
        <v>291000</v>
      </c>
      <c r="T32">
        <v>266800</v>
      </c>
    </row>
    <row r="33" spans="18:20">
      <c r="R33" s="9">
        <v>45689</v>
      </c>
      <c r="S33">
        <v>298500</v>
      </c>
      <c r="T33">
        <v>273625</v>
      </c>
    </row>
    <row r="34" spans="18:20">
      <c r="R34" s="9">
        <v>45690</v>
      </c>
      <c r="S34">
        <v>298500</v>
      </c>
      <c r="T34">
        <v>273625</v>
      </c>
    </row>
    <row r="35" spans="18:20">
      <c r="R35" s="9">
        <v>45691</v>
      </c>
      <c r="S35">
        <v>292000</v>
      </c>
      <c r="T35">
        <v>267700</v>
      </c>
    </row>
    <row r="36" spans="18:20">
      <c r="R36" s="9">
        <v>45692</v>
      </c>
      <c r="S36">
        <v>292000</v>
      </c>
      <c r="T36">
        <v>267700</v>
      </c>
    </row>
    <row r="37" spans="18:20">
      <c r="R37" s="9">
        <v>45693</v>
      </c>
      <c r="S37">
        <v>292500</v>
      </c>
      <c r="T37">
        <v>268100</v>
      </c>
    </row>
    <row r="38" spans="18:20">
      <c r="R38" s="9">
        <v>45694</v>
      </c>
      <c r="S38">
        <v>292500</v>
      </c>
      <c r="T38">
        <v>268100</v>
      </c>
    </row>
    <row r="39" spans="18:20">
      <c r="R39" s="9">
        <v>45695</v>
      </c>
      <c r="S39">
        <v>293000</v>
      </c>
      <c r="T39">
        <v>268600</v>
      </c>
    </row>
    <row r="40" spans="18:20">
      <c r="R40" s="9">
        <v>45696</v>
      </c>
      <c r="S40">
        <v>293500</v>
      </c>
      <c r="T40">
        <v>269000</v>
      </c>
    </row>
    <row r="41" spans="18:20">
      <c r="R41" s="9">
        <v>45697</v>
      </c>
      <c r="S41">
        <v>293500</v>
      </c>
      <c r="T41">
        <v>269000</v>
      </c>
    </row>
    <row r="42" spans="18:20">
      <c r="R42" s="9">
        <v>45698</v>
      </c>
      <c r="S42">
        <v>294500</v>
      </c>
      <c r="T42">
        <v>270000</v>
      </c>
    </row>
    <row r="43" spans="18:20">
      <c r="R43" s="9">
        <v>45699</v>
      </c>
      <c r="S43">
        <v>295500</v>
      </c>
      <c r="T43">
        <v>270900</v>
      </c>
    </row>
    <row r="44" spans="18:20">
      <c r="R44" s="9">
        <v>45700</v>
      </c>
      <c r="S44">
        <v>295500</v>
      </c>
      <c r="T44">
        <v>270900</v>
      </c>
    </row>
    <row r="45" spans="18:20">
      <c r="R45" s="9">
        <v>45701</v>
      </c>
      <c r="S45">
        <v>296000</v>
      </c>
      <c r="T45">
        <v>271300</v>
      </c>
    </row>
    <row r="46" spans="18:20">
      <c r="R46" s="9">
        <v>45702</v>
      </c>
      <c r="S46">
        <v>296000</v>
      </c>
      <c r="T46">
        <v>271300</v>
      </c>
    </row>
    <row r="47" spans="18:20">
      <c r="R47" s="9">
        <v>45703</v>
      </c>
      <c r="S47">
        <v>304000</v>
      </c>
      <c r="T47">
        <v>278667</v>
      </c>
    </row>
    <row r="48" spans="18:20">
      <c r="R48" s="9">
        <v>45704</v>
      </c>
      <c r="S48">
        <v>304000</v>
      </c>
      <c r="T48">
        <v>278667</v>
      </c>
    </row>
    <row r="49" spans="18:20">
      <c r="R49" s="9">
        <v>45705</v>
      </c>
      <c r="S49">
        <v>297000</v>
      </c>
      <c r="T49">
        <v>272200</v>
      </c>
    </row>
    <row r="50" spans="18:20">
      <c r="R50" s="9">
        <v>45706</v>
      </c>
      <c r="S50">
        <v>297500</v>
      </c>
      <c r="T50">
        <v>272700</v>
      </c>
    </row>
    <row r="51" spans="18:20">
      <c r="R51" s="9">
        <v>45707</v>
      </c>
      <c r="S51">
        <v>297500</v>
      </c>
      <c r="T51">
        <v>272700</v>
      </c>
    </row>
    <row r="52" spans="18:20">
      <c r="R52" s="9">
        <v>45708</v>
      </c>
      <c r="S52">
        <v>297500</v>
      </c>
      <c r="T52">
        <v>272700</v>
      </c>
    </row>
    <row r="53" spans="18:20">
      <c r="R53" s="9">
        <v>45709</v>
      </c>
      <c r="S53">
        <v>298000</v>
      </c>
      <c r="T53">
        <v>273200</v>
      </c>
    </row>
    <row r="54" spans="18:20">
      <c r="R54" s="9">
        <v>45710</v>
      </c>
      <c r="S54">
        <v>298000</v>
      </c>
      <c r="T54">
        <v>273200</v>
      </c>
    </row>
    <row r="55" spans="18:20">
      <c r="R55" s="9">
        <v>45711</v>
      </c>
      <c r="S55">
        <v>298000</v>
      </c>
      <c r="T55">
        <v>273200</v>
      </c>
    </row>
    <row r="56" spans="18:20">
      <c r="R56" s="9">
        <v>45712</v>
      </c>
      <c r="S56">
        <v>298000</v>
      </c>
      <c r="T56">
        <v>273200</v>
      </c>
    </row>
    <row r="57" spans="18:20">
      <c r="R57" s="9">
        <v>45713</v>
      </c>
      <c r="S57">
        <v>298500</v>
      </c>
      <c r="T57">
        <v>273600</v>
      </c>
    </row>
    <row r="58" spans="18:20">
      <c r="R58" s="9">
        <v>45714</v>
      </c>
      <c r="S58">
        <v>299000</v>
      </c>
      <c r="T58">
        <v>274100</v>
      </c>
    </row>
    <row r="59" spans="18:20">
      <c r="R59" s="9">
        <v>45715</v>
      </c>
      <c r="S59">
        <v>299000</v>
      </c>
      <c r="T59">
        <v>274100</v>
      </c>
    </row>
    <row r="60" spans="18:20">
      <c r="R60" s="9">
        <v>45716</v>
      </c>
      <c r="S60">
        <v>299500</v>
      </c>
      <c r="T60">
        <v>274500</v>
      </c>
    </row>
    <row r="61" spans="18:20">
      <c r="R61" s="9">
        <v>45717</v>
      </c>
      <c r="S61">
        <v>310000</v>
      </c>
      <c r="T61">
        <v>284167</v>
      </c>
    </row>
    <row r="62" spans="18:20">
      <c r="R62" s="9">
        <v>45718</v>
      </c>
      <c r="S62">
        <v>310000</v>
      </c>
      <c r="T62">
        <v>284167</v>
      </c>
    </row>
    <row r="63" spans="18:20">
      <c r="R63" s="9">
        <v>45719</v>
      </c>
      <c r="S63">
        <v>309500</v>
      </c>
      <c r="T63">
        <v>283700</v>
      </c>
    </row>
    <row r="64" spans="18:20">
      <c r="R64" s="9">
        <v>45720</v>
      </c>
      <c r="S64">
        <v>310000</v>
      </c>
      <c r="T64">
        <v>284200</v>
      </c>
    </row>
    <row r="65" spans="18:20">
      <c r="R65" s="9">
        <v>45721</v>
      </c>
      <c r="S65">
        <v>311000</v>
      </c>
      <c r="T65">
        <v>285100</v>
      </c>
    </row>
    <row r="66" spans="18:20">
      <c r="R66" s="9">
        <v>45722</v>
      </c>
      <c r="S66">
        <v>311500</v>
      </c>
      <c r="T66">
        <v>285500</v>
      </c>
    </row>
    <row r="67" spans="18:20">
      <c r="R67" s="9">
        <v>45723</v>
      </c>
      <c r="S67">
        <v>312000</v>
      </c>
      <c r="T67">
        <v>286000</v>
      </c>
    </row>
    <row r="68" spans="18:20">
      <c r="R68" s="9">
        <v>45724</v>
      </c>
      <c r="S68">
        <v>312500</v>
      </c>
      <c r="T68">
        <v>286500</v>
      </c>
    </row>
    <row r="69" spans="18:20">
      <c r="R69" s="9">
        <v>45725</v>
      </c>
      <c r="S69">
        <v>312500</v>
      </c>
      <c r="T69">
        <v>286500</v>
      </c>
    </row>
    <row r="70" spans="18:20">
      <c r="R70" s="9">
        <v>45726</v>
      </c>
      <c r="S70">
        <v>312500</v>
      </c>
      <c r="T70">
        <v>286500</v>
      </c>
    </row>
    <row r="71" spans="18:20">
      <c r="R71" s="9">
        <v>45727</v>
      </c>
      <c r="S71">
        <v>312500</v>
      </c>
      <c r="T71">
        <v>286500</v>
      </c>
    </row>
    <row r="72" spans="18:20">
      <c r="R72" s="9">
        <v>45728</v>
      </c>
      <c r="S72">
        <v>313500</v>
      </c>
      <c r="T72">
        <v>287400</v>
      </c>
    </row>
    <row r="73" spans="18:20">
      <c r="R73" s="9">
        <v>45729</v>
      </c>
      <c r="S73">
        <v>314000</v>
      </c>
      <c r="T73">
        <v>287800</v>
      </c>
    </row>
    <row r="74" spans="18:20">
      <c r="R74" s="9">
        <v>45730</v>
      </c>
      <c r="S74">
        <v>314000</v>
      </c>
      <c r="T74">
        <v>287800</v>
      </c>
    </row>
    <row r="75" spans="18:20">
      <c r="R75" s="9">
        <v>45731</v>
      </c>
      <c r="S75">
        <v>319000</v>
      </c>
      <c r="T75">
        <v>292417</v>
      </c>
    </row>
    <row r="76" spans="18:20">
      <c r="R76" s="9">
        <v>45732</v>
      </c>
      <c r="S76">
        <v>319000</v>
      </c>
      <c r="T76">
        <v>292417</v>
      </c>
    </row>
    <row r="77" spans="18:20">
      <c r="R77" s="9">
        <v>45733</v>
      </c>
      <c r="S77">
        <v>314000</v>
      </c>
      <c r="T77">
        <v>287800</v>
      </c>
    </row>
    <row r="78" spans="18:20">
      <c r="R78" s="9">
        <v>45734</v>
      </c>
      <c r="S78">
        <v>315000</v>
      </c>
      <c r="T78">
        <v>288800</v>
      </c>
    </row>
    <row r="79" spans="18:20">
      <c r="R79" s="9">
        <v>45735</v>
      </c>
      <c r="S79">
        <v>314500</v>
      </c>
      <c r="T79">
        <v>288300</v>
      </c>
    </row>
    <row r="80" spans="18:20">
      <c r="R80" s="9">
        <v>45736</v>
      </c>
      <c r="S80">
        <v>315000</v>
      </c>
      <c r="T80">
        <v>288800</v>
      </c>
    </row>
    <row r="81" spans="18:20">
      <c r="R81" s="9">
        <v>45737</v>
      </c>
      <c r="S81">
        <v>315500</v>
      </c>
      <c r="T81">
        <v>289200</v>
      </c>
    </row>
    <row r="82" spans="18:20">
      <c r="R82" s="9">
        <v>45738</v>
      </c>
      <c r="S82">
        <v>316000</v>
      </c>
      <c r="T82">
        <v>289700</v>
      </c>
    </row>
    <row r="83" spans="18:20">
      <c r="R83" s="9">
        <v>45739</v>
      </c>
      <c r="S83">
        <v>316000</v>
      </c>
      <c r="T83">
        <v>289700</v>
      </c>
    </row>
    <row r="84" spans="18:20">
      <c r="R84" s="9">
        <v>45740</v>
      </c>
      <c r="S84">
        <v>315500</v>
      </c>
      <c r="T84">
        <v>289200</v>
      </c>
    </row>
    <row r="85" spans="18:20">
      <c r="R85" s="9">
        <v>45741</v>
      </c>
      <c r="S85">
        <v>315500</v>
      </c>
      <c r="T85">
        <v>289200</v>
      </c>
    </row>
    <row r="86" spans="18:20">
      <c r="R86" s="9">
        <v>45742</v>
      </c>
      <c r="S86">
        <v>316000</v>
      </c>
      <c r="T86">
        <v>289700</v>
      </c>
    </row>
    <row r="87" spans="18:20">
      <c r="R87" s="9">
        <v>45743</v>
      </c>
      <c r="S87">
        <v>315500</v>
      </c>
      <c r="T87">
        <v>289200</v>
      </c>
    </row>
    <row r="88" spans="18:20">
      <c r="R88" s="9">
        <v>45744</v>
      </c>
      <c r="S88">
        <v>315500</v>
      </c>
      <c r="T88">
        <v>289200</v>
      </c>
    </row>
    <row r="89" spans="18:20">
      <c r="R89" s="9">
        <v>45745</v>
      </c>
      <c r="S89">
        <v>315500</v>
      </c>
      <c r="T89">
        <v>289200</v>
      </c>
    </row>
    <row r="90" spans="18:20">
      <c r="R90" s="9">
        <v>45746</v>
      </c>
      <c r="S90">
        <v>315500</v>
      </c>
      <c r="T90">
        <v>289200</v>
      </c>
    </row>
    <row r="91" spans="18:20">
      <c r="R91" s="9">
        <v>45747</v>
      </c>
      <c r="S91">
        <v>316000</v>
      </c>
      <c r="T91">
        <v>289700</v>
      </c>
    </row>
    <row r="92" spans="18:20">
      <c r="R92" s="9">
        <v>45748</v>
      </c>
      <c r="S92">
        <v>328500</v>
      </c>
      <c r="T92">
        <v>301125</v>
      </c>
    </row>
    <row r="93" spans="18:20">
      <c r="R93" s="9">
        <v>45749</v>
      </c>
      <c r="S93">
        <v>331000</v>
      </c>
      <c r="T93">
        <v>303400</v>
      </c>
    </row>
    <row r="94" spans="18:20">
      <c r="R94" s="9">
        <v>45750</v>
      </c>
      <c r="S94">
        <v>331500</v>
      </c>
      <c r="T94">
        <v>303900</v>
      </c>
    </row>
    <row r="95" spans="18:20">
      <c r="R95" s="9">
        <v>45751</v>
      </c>
      <c r="S95">
        <v>332000</v>
      </c>
      <c r="T95">
        <v>304300</v>
      </c>
    </row>
    <row r="96" spans="18:20">
      <c r="R96" s="9">
        <v>45752</v>
      </c>
      <c r="S96">
        <v>332500</v>
      </c>
      <c r="T96">
        <v>304800</v>
      </c>
    </row>
    <row r="97" spans="18:20">
      <c r="R97" s="9">
        <v>45753</v>
      </c>
      <c r="S97">
        <v>332500</v>
      </c>
      <c r="T97">
        <v>304800</v>
      </c>
    </row>
    <row r="98" spans="18:20">
      <c r="R98" s="9">
        <v>45754</v>
      </c>
      <c r="S98">
        <v>333500</v>
      </c>
      <c r="T98">
        <v>305700</v>
      </c>
    </row>
    <row r="99" spans="18:20">
      <c r="R99" s="9">
        <v>45755</v>
      </c>
      <c r="S99">
        <v>333500</v>
      </c>
      <c r="T99">
        <v>305700</v>
      </c>
    </row>
    <row r="100" spans="18:20">
      <c r="R100" s="9">
        <v>45756</v>
      </c>
      <c r="S100">
        <v>334000</v>
      </c>
      <c r="T100">
        <v>306200</v>
      </c>
    </row>
    <row r="101" spans="18:20">
      <c r="R101" s="9">
        <v>45757</v>
      </c>
      <c r="S101">
        <v>334000</v>
      </c>
      <c r="T101">
        <v>306200</v>
      </c>
    </row>
    <row r="102" spans="18:20">
      <c r="R102" s="9">
        <v>45758</v>
      </c>
      <c r="S102">
        <v>335000</v>
      </c>
      <c r="T102">
        <v>307100</v>
      </c>
    </row>
    <row r="103" spans="18:20">
      <c r="R103" s="9">
        <v>45759</v>
      </c>
      <c r="S103">
        <v>335500</v>
      </c>
      <c r="T103">
        <v>307500</v>
      </c>
    </row>
    <row r="104" spans="18:20">
      <c r="R104" s="9">
        <v>45760</v>
      </c>
      <c r="S104">
        <v>335500</v>
      </c>
      <c r="T104">
        <v>307500</v>
      </c>
    </row>
    <row r="105" spans="18:20">
      <c r="R105" s="9">
        <v>45761</v>
      </c>
      <c r="S105">
        <v>336000</v>
      </c>
      <c r="T105">
        <v>308000</v>
      </c>
    </row>
    <row r="106" spans="18:20">
      <c r="R106" s="9">
        <v>45762</v>
      </c>
      <c r="S106">
        <v>335000</v>
      </c>
      <c r="T106">
        <v>307083</v>
      </c>
    </row>
    <row r="107" spans="18:20">
      <c r="R107" s="9">
        <v>45763</v>
      </c>
      <c r="S107">
        <v>336500</v>
      </c>
      <c r="T107">
        <v>308500</v>
      </c>
    </row>
    <row r="108" spans="18:20">
      <c r="R108" s="9">
        <v>45764</v>
      </c>
      <c r="S108">
        <v>336500</v>
      </c>
      <c r="T108">
        <v>308500</v>
      </c>
    </row>
    <row r="109" spans="18:20">
      <c r="R109" s="9">
        <v>45765</v>
      </c>
      <c r="S109">
        <v>337000</v>
      </c>
      <c r="T109">
        <v>308900</v>
      </c>
    </row>
    <row r="110" spans="18:20">
      <c r="R110" s="9">
        <v>45766</v>
      </c>
      <c r="S110">
        <v>337000</v>
      </c>
      <c r="T110">
        <v>308900</v>
      </c>
    </row>
    <row r="111" spans="18:20">
      <c r="R111" s="9">
        <v>45767</v>
      </c>
      <c r="S111">
        <v>337000</v>
      </c>
      <c r="T111">
        <v>308900</v>
      </c>
    </row>
    <row r="112" spans="18:20">
      <c r="R112" s="9">
        <v>45768</v>
      </c>
      <c r="S112">
        <v>338000</v>
      </c>
      <c r="T112">
        <v>309800</v>
      </c>
    </row>
    <row r="113" spans="18:20">
      <c r="R113" s="9">
        <v>45769</v>
      </c>
      <c r="S113">
        <v>339000</v>
      </c>
      <c r="T113">
        <v>310800</v>
      </c>
    </row>
    <row r="114" spans="18:20">
      <c r="R114" s="9">
        <v>45770</v>
      </c>
      <c r="S114">
        <v>339000</v>
      </c>
      <c r="T114">
        <v>310800</v>
      </c>
    </row>
    <row r="115" spans="18:20">
      <c r="R115" s="9">
        <v>45771</v>
      </c>
      <c r="S115">
        <v>339000</v>
      </c>
      <c r="T115">
        <v>310800</v>
      </c>
    </row>
    <row r="116" spans="18:20">
      <c r="R116" s="9">
        <v>45772</v>
      </c>
      <c r="S116">
        <v>339000</v>
      </c>
      <c r="T116">
        <v>310800</v>
      </c>
    </row>
    <row r="117" spans="18:20">
      <c r="R117" s="9">
        <v>45773</v>
      </c>
      <c r="S117">
        <v>339000</v>
      </c>
      <c r="T117">
        <v>310800</v>
      </c>
    </row>
    <row r="118" spans="18:20">
      <c r="R118" s="9">
        <v>45774</v>
      </c>
      <c r="S118">
        <v>339000</v>
      </c>
      <c r="T118">
        <v>310800</v>
      </c>
    </row>
    <row r="119" spans="18:20">
      <c r="R119" s="9">
        <v>45775</v>
      </c>
      <c r="S119">
        <v>339500</v>
      </c>
      <c r="T119">
        <v>311200</v>
      </c>
    </row>
    <row r="120" spans="18:20">
      <c r="R120" s="9">
        <v>45776</v>
      </c>
      <c r="S120">
        <v>340000</v>
      </c>
      <c r="T120">
        <v>311700</v>
      </c>
    </row>
    <row r="121" spans="18:20">
      <c r="R121" s="9">
        <v>45777</v>
      </c>
      <c r="S121">
        <v>340500</v>
      </c>
      <c r="T121">
        <v>312100</v>
      </c>
    </row>
    <row r="122" spans="18:20">
      <c r="R122" s="9">
        <v>45778</v>
      </c>
      <c r="S122">
        <v>342000</v>
      </c>
      <c r="T122">
        <v>313500</v>
      </c>
    </row>
    <row r="123" spans="18:20">
      <c r="R123" s="9">
        <v>45779</v>
      </c>
      <c r="S123">
        <v>340500</v>
      </c>
      <c r="T123">
        <v>312100</v>
      </c>
    </row>
    <row r="124" spans="18:20">
      <c r="R124" s="9">
        <v>45780</v>
      </c>
      <c r="S124">
        <v>341000</v>
      </c>
      <c r="T124">
        <v>312600</v>
      </c>
    </row>
    <row r="125" spans="18:20">
      <c r="R125" s="9">
        <v>45781</v>
      </c>
      <c r="S125">
        <v>341000</v>
      </c>
      <c r="T125">
        <v>312600</v>
      </c>
    </row>
    <row r="126" spans="18:20">
      <c r="R126" s="9">
        <v>45782</v>
      </c>
      <c r="S126">
        <v>342000</v>
      </c>
      <c r="T126">
        <v>313500</v>
      </c>
    </row>
    <row r="127" spans="18:20">
      <c r="R127" s="9">
        <v>45783</v>
      </c>
      <c r="S127">
        <v>342500</v>
      </c>
      <c r="T127">
        <v>314000</v>
      </c>
    </row>
    <row r="128" spans="18:20">
      <c r="R128" s="9">
        <v>45784</v>
      </c>
      <c r="S128">
        <v>342000</v>
      </c>
      <c r="T128">
        <v>313500</v>
      </c>
    </row>
    <row r="129" spans="18:20">
      <c r="R129" s="9">
        <v>45785</v>
      </c>
      <c r="S129">
        <v>342500</v>
      </c>
      <c r="T129">
        <v>314000</v>
      </c>
    </row>
    <row r="130" spans="18:20">
      <c r="R130" s="9">
        <v>45786</v>
      </c>
      <c r="S130">
        <v>343000</v>
      </c>
      <c r="T130">
        <v>314400</v>
      </c>
    </row>
    <row r="131" spans="18:20">
      <c r="R131" s="9">
        <v>45787</v>
      </c>
      <c r="S131">
        <v>343000</v>
      </c>
      <c r="T131">
        <v>314400</v>
      </c>
    </row>
    <row r="132" spans="18:20">
      <c r="R132" s="9">
        <v>45788</v>
      </c>
      <c r="S132">
        <v>343000</v>
      </c>
      <c r="T132">
        <v>314400</v>
      </c>
    </row>
    <row r="133" spans="18:20">
      <c r="R133" s="9">
        <v>45789</v>
      </c>
      <c r="S133">
        <v>343500</v>
      </c>
      <c r="T133">
        <v>314900</v>
      </c>
    </row>
    <row r="134" spans="18:20">
      <c r="R134" s="9">
        <v>45790</v>
      </c>
      <c r="S134">
        <v>343500</v>
      </c>
      <c r="T134">
        <v>314900</v>
      </c>
    </row>
    <row r="135" spans="18:20">
      <c r="R135" s="9">
        <v>45791</v>
      </c>
      <c r="S135">
        <v>344000</v>
      </c>
      <c r="T135">
        <v>315300</v>
      </c>
    </row>
    <row r="136" spans="18:20">
      <c r="R136" s="9">
        <v>45792</v>
      </c>
      <c r="S136">
        <v>348000</v>
      </c>
      <c r="T136">
        <v>319000</v>
      </c>
    </row>
    <row r="137" spans="18:20">
      <c r="R137" s="9">
        <v>45793</v>
      </c>
      <c r="S137">
        <v>343500</v>
      </c>
      <c r="T137">
        <v>314900</v>
      </c>
    </row>
    <row r="138" spans="18:20">
      <c r="R138" s="9">
        <v>45794</v>
      </c>
      <c r="S138">
        <v>344000</v>
      </c>
      <c r="T138">
        <v>315300</v>
      </c>
    </row>
    <row r="139" spans="18:20">
      <c r="R139" s="9">
        <v>45795</v>
      </c>
      <c r="S139">
        <v>344000</v>
      </c>
      <c r="T139">
        <v>315300</v>
      </c>
    </row>
    <row r="140" spans="18:20">
      <c r="R140" s="9">
        <v>45796</v>
      </c>
      <c r="S140">
        <v>343500</v>
      </c>
      <c r="T140">
        <v>314900</v>
      </c>
    </row>
    <row r="141" spans="18:20">
      <c r="R141" s="9">
        <v>45797</v>
      </c>
      <c r="S141">
        <v>343500</v>
      </c>
      <c r="T141">
        <v>314900</v>
      </c>
    </row>
    <row r="142" spans="18:20">
      <c r="R142" s="9">
        <v>45798</v>
      </c>
      <c r="S142">
        <v>343500</v>
      </c>
      <c r="T142">
        <v>314900</v>
      </c>
    </row>
    <row r="143" spans="18:20">
      <c r="R143" s="9">
        <v>45799</v>
      </c>
      <c r="S143">
        <v>343000</v>
      </c>
      <c r="T143">
        <v>314400</v>
      </c>
    </row>
    <row r="144" spans="18:20">
      <c r="R144" s="9">
        <v>45800</v>
      </c>
      <c r="S144">
        <v>342500</v>
      </c>
      <c r="T144">
        <v>314000</v>
      </c>
    </row>
    <row r="145" spans="18:20">
      <c r="R145" s="9">
        <v>45801</v>
      </c>
      <c r="S145">
        <v>342500</v>
      </c>
      <c r="T145">
        <v>314000</v>
      </c>
    </row>
    <row r="146" spans="18:20">
      <c r="R146" s="9">
        <v>45802</v>
      </c>
      <c r="S146">
        <v>342500</v>
      </c>
      <c r="T146">
        <v>314000</v>
      </c>
    </row>
    <row r="147" spans="18:20">
      <c r="R147" s="9">
        <v>45803</v>
      </c>
      <c r="S147">
        <v>342500</v>
      </c>
      <c r="T147">
        <v>314000</v>
      </c>
    </row>
    <row r="148" spans="18:20">
      <c r="R148" s="9">
        <v>45804</v>
      </c>
      <c r="S148">
        <v>343500</v>
      </c>
      <c r="T148">
        <v>314900</v>
      </c>
    </row>
    <row r="149" spans="18:20">
      <c r="R149" s="9">
        <v>45805</v>
      </c>
      <c r="S149">
        <v>343500</v>
      </c>
      <c r="T149">
        <v>314900</v>
      </c>
    </row>
    <row r="150" spans="18:20">
      <c r="R150" s="9">
        <v>45806</v>
      </c>
      <c r="S150">
        <v>343000</v>
      </c>
      <c r="T150">
        <v>314400</v>
      </c>
    </row>
    <row r="151" spans="18:20">
      <c r="R151" s="9">
        <v>45807</v>
      </c>
      <c r="S151">
        <v>344000</v>
      </c>
      <c r="T151">
        <v>315300</v>
      </c>
    </row>
    <row r="152" spans="18:20">
      <c r="R152" s="9">
        <v>45808</v>
      </c>
      <c r="S152">
        <v>344500</v>
      </c>
      <c r="T152">
        <v>315800</v>
      </c>
    </row>
    <row r="153" spans="18:20">
      <c r="R153" s="9">
        <v>45809</v>
      </c>
      <c r="S153">
        <v>355000</v>
      </c>
      <c r="T153">
        <v>325417</v>
      </c>
    </row>
    <row r="154" spans="18:20">
      <c r="R154" s="9">
        <v>45810</v>
      </c>
      <c r="S154">
        <v>347500</v>
      </c>
      <c r="T154">
        <v>318500</v>
      </c>
    </row>
    <row r="155" spans="18:20">
      <c r="R155" s="9">
        <v>45811</v>
      </c>
      <c r="S155">
        <v>348500</v>
      </c>
      <c r="T155">
        <v>319500</v>
      </c>
    </row>
    <row r="156" spans="18:20">
      <c r="R156" s="9">
        <v>45812</v>
      </c>
      <c r="S156">
        <v>349000</v>
      </c>
      <c r="T156">
        <v>319900</v>
      </c>
    </row>
    <row r="157" spans="18:20">
      <c r="R157" s="9">
        <v>45813</v>
      </c>
      <c r="S157">
        <v>349500</v>
      </c>
      <c r="T157">
        <v>320400</v>
      </c>
    </row>
    <row r="158" spans="18:20">
      <c r="R158" s="9">
        <v>45814</v>
      </c>
      <c r="S158">
        <v>350500</v>
      </c>
      <c r="T158">
        <v>321300</v>
      </c>
    </row>
    <row r="159" spans="18:20">
      <c r="R159" s="9">
        <v>45815</v>
      </c>
      <c r="S159">
        <v>351500</v>
      </c>
      <c r="T159">
        <v>322200</v>
      </c>
    </row>
    <row r="160" spans="18:20">
      <c r="R160" s="9">
        <v>45816</v>
      </c>
      <c r="S160">
        <v>351500</v>
      </c>
      <c r="T160">
        <v>322200</v>
      </c>
    </row>
    <row r="161" spans="18:20">
      <c r="R161" s="9">
        <v>45817</v>
      </c>
      <c r="S161">
        <v>351500</v>
      </c>
      <c r="T161">
        <v>322200</v>
      </c>
    </row>
    <row r="162" spans="18:20">
      <c r="R162" s="9">
        <v>45818</v>
      </c>
      <c r="S162">
        <v>352500</v>
      </c>
      <c r="T162">
        <v>323100</v>
      </c>
    </row>
    <row r="163" spans="18:20">
      <c r="R163" s="9">
        <v>45819</v>
      </c>
      <c r="S163">
        <v>353000</v>
      </c>
      <c r="T163">
        <v>323600</v>
      </c>
    </row>
    <row r="164" spans="18:20">
      <c r="R164" s="9">
        <v>45820</v>
      </c>
      <c r="S164">
        <v>352500</v>
      </c>
      <c r="T164">
        <v>323100</v>
      </c>
    </row>
    <row r="165" spans="18:20">
      <c r="R165" s="9">
        <v>45821</v>
      </c>
      <c r="S165">
        <v>352500</v>
      </c>
      <c r="T165">
        <v>323100</v>
      </c>
    </row>
    <row r="166" spans="18:20">
      <c r="R166" s="9">
        <v>45822</v>
      </c>
      <c r="S166">
        <v>352500</v>
      </c>
      <c r="T166">
        <v>323100</v>
      </c>
    </row>
    <row r="167" spans="18:20">
      <c r="R167" s="9">
        <v>45823</v>
      </c>
      <c r="S167">
        <v>360000</v>
      </c>
      <c r="T167">
        <v>330000</v>
      </c>
    </row>
    <row r="168" spans="18:20">
      <c r="R168" s="9">
        <v>45824</v>
      </c>
      <c r="S168">
        <v>353500</v>
      </c>
      <c r="T168">
        <v>324000</v>
      </c>
    </row>
    <row r="169" spans="18:20">
      <c r="R169" s="9">
        <v>45825</v>
      </c>
      <c r="S169">
        <v>354000</v>
      </c>
      <c r="T169">
        <v>324500</v>
      </c>
    </row>
    <row r="170" spans="18:20">
      <c r="R170" s="9">
        <v>45826</v>
      </c>
      <c r="S170">
        <v>354500</v>
      </c>
      <c r="T170">
        <v>325000</v>
      </c>
    </row>
    <row r="171" spans="18:20">
      <c r="R171" s="9">
        <v>45827</v>
      </c>
      <c r="S171">
        <v>355000</v>
      </c>
      <c r="T171">
        <v>325400</v>
      </c>
    </row>
    <row r="172" spans="18:20">
      <c r="R172" s="9">
        <v>45828</v>
      </c>
      <c r="S172">
        <v>354500</v>
      </c>
      <c r="T172">
        <v>325000</v>
      </c>
    </row>
    <row r="173" spans="18:20">
      <c r="R173" s="9">
        <v>45829</v>
      </c>
      <c r="S173">
        <v>354500</v>
      </c>
      <c r="T173">
        <v>325000</v>
      </c>
    </row>
    <row r="174" spans="18:20">
      <c r="R174" s="9">
        <v>45830</v>
      </c>
      <c r="S174">
        <v>354500</v>
      </c>
      <c r="T174">
        <v>325000</v>
      </c>
    </row>
    <row r="175" spans="18:20">
      <c r="R175" s="9">
        <v>45831</v>
      </c>
      <c r="S175">
        <v>354500</v>
      </c>
      <c r="T175">
        <v>325000</v>
      </c>
    </row>
    <row r="176" spans="18:20">
      <c r="R176" s="9">
        <v>45832</v>
      </c>
      <c r="S176">
        <v>354000</v>
      </c>
      <c r="T176">
        <v>324500</v>
      </c>
    </row>
    <row r="177" spans="18:20">
      <c r="R177" s="9">
        <v>45833</v>
      </c>
      <c r="S177">
        <v>354000</v>
      </c>
      <c r="T177">
        <v>324500</v>
      </c>
    </row>
    <row r="178" spans="18:20">
      <c r="R178" s="9">
        <v>45834</v>
      </c>
      <c r="S178">
        <v>354500</v>
      </c>
      <c r="T178">
        <v>325000</v>
      </c>
    </row>
    <row r="179" spans="18:20">
      <c r="R179" s="9">
        <v>45835</v>
      </c>
      <c r="S179">
        <v>354500</v>
      </c>
      <c r="T179">
        <v>325000</v>
      </c>
    </row>
    <row r="180" spans="18:20">
      <c r="R180" s="9">
        <v>45836</v>
      </c>
      <c r="S180">
        <v>354000</v>
      </c>
      <c r="T180">
        <v>324500</v>
      </c>
    </row>
    <row r="181" spans="18:20">
      <c r="R181" s="9">
        <v>45837</v>
      </c>
      <c r="S181">
        <v>354000</v>
      </c>
      <c r="T181">
        <v>324500</v>
      </c>
    </row>
    <row r="182" spans="18:20">
      <c r="R182" s="9">
        <v>45838</v>
      </c>
      <c r="S182">
        <v>355000</v>
      </c>
      <c r="T182">
        <v>325400</v>
      </c>
    </row>
    <row r="183" spans="18:20">
      <c r="R183" s="9">
        <v>45839</v>
      </c>
      <c r="S183">
        <v>365500</v>
      </c>
      <c r="T183">
        <v>335042</v>
      </c>
    </row>
    <row r="184" spans="18:20">
      <c r="R184" s="9">
        <v>45840</v>
      </c>
      <c r="S184">
        <v>357000</v>
      </c>
      <c r="T184">
        <v>327200</v>
      </c>
    </row>
    <row r="185" spans="18:20">
      <c r="R185" s="9">
        <v>45841</v>
      </c>
      <c r="S185">
        <v>358000</v>
      </c>
      <c r="T185">
        <v>328200</v>
      </c>
    </row>
    <row r="186" spans="18:20">
      <c r="R186" s="9">
        <v>45842</v>
      </c>
      <c r="S186">
        <v>358500</v>
      </c>
      <c r="T186">
        <v>328600</v>
      </c>
    </row>
    <row r="187" spans="18:20">
      <c r="R187" s="9">
        <v>45843</v>
      </c>
      <c r="S187">
        <v>358500</v>
      </c>
      <c r="T187">
        <v>328600</v>
      </c>
    </row>
    <row r="188" spans="18:20">
      <c r="R188" s="9">
        <v>45844</v>
      </c>
      <c r="S188">
        <v>358500</v>
      </c>
      <c r="T188">
        <v>328600</v>
      </c>
    </row>
    <row r="189" spans="18:20">
      <c r="R189" s="9">
        <v>45845</v>
      </c>
      <c r="S189">
        <v>359000</v>
      </c>
      <c r="T189">
        <v>329100</v>
      </c>
    </row>
    <row r="190" spans="18:20">
      <c r="R190" s="9">
        <v>45846</v>
      </c>
      <c r="S190">
        <v>360000</v>
      </c>
      <c r="T190">
        <v>330000</v>
      </c>
    </row>
    <row r="191" spans="18:20">
      <c r="R191" s="9">
        <v>45847</v>
      </c>
      <c r="S191">
        <v>360500</v>
      </c>
      <c r="T191">
        <v>330500</v>
      </c>
    </row>
    <row r="192" spans="18:20">
      <c r="R192" s="9">
        <v>45848</v>
      </c>
      <c r="S192">
        <v>361000</v>
      </c>
      <c r="T192">
        <v>330900</v>
      </c>
    </row>
    <row r="193" spans="18:20">
      <c r="R193" s="9">
        <v>45849</v>
      </c>
      <c r="S193">
        <v>362000</v>
      </c>
      <c r="T193">
        <v>331800</v>
      </c>
    </row>
    <row r="194" spans="18:20">
      <c r="R194" s="9">
        <v>45850</v>
      </c>
      <c r="S194">
        <v>362000</v>
      </c>
      <c r="T194">
        <v>331800</v>
      </c>
    </row>
    <row r="195" spans="18:20">
      <c r="R195" s="9">
        <v>45851</v>
      </c>
      <c r="S195">
        <v>362000</v>
      </c>
      <c r="T195">
        <v>331800</v>
      </c>
    </row>
    <row r="196" spans="18:20">
      <c r="R196" s="9">
        <v>45852</v>
      </c>
      <c r="S196">
        <v>363000</v>
      </c>
      <c r="T196">
        <v>332800</v>
      </c>
    </row>
    <row r="197" spans="18:20">
      <c r="R197" s="9">
        <v>45853</v>
      </c>
      <c r="S197">
        <v>370000</v>
      </c>
      <c r="T197">
        <v>339167</v>
      </c>
    </row>
    <row r="198" spans="18:20">
      <c r="R198" s="9">
        <v>45854</v>
      </c>
      <c r="S198">
        <v>363500</v>
      </c>
      <c r="T198">
        <v>333200</v>
      </c>
    </row>
    <row r="199" spans="18:20">
      <c r="R199" s="9">
        <v>45855</v>
      </c>
      <c r="S199">
        <v>364000</v>
      </c>
      <c r="T199">
        <v>333700</v>
      </c>
    </row>
    <row r="200" spans="18:20">
      <c r="R200" s="9">
        <v>45856</v>
      </c>
      <c r="S200">
        <v>365000</v>
      </c>
      <c r="T200">
        <v>334600</v>
      </c>
    </row>
    <row r="201" spans="18:20">
      <c r="R201" s="9">
        <v>45857</v>
      </c>
      <c r="S201">
        <v>365500</v>
      </c>
      <c r="T201">
        <v>335000</v>
      </c>
    </row>
    <row r="202" spans="18:20">
      <c r="R202" s="9">
        <v>45858</v>
      </c>
      <c r="S202">
        <v>365500</v>
      </c>
      <c r="T202">
        <v>335000</v>
      </c>
    </row>
    <row r="203" spans="18:20">
      <c r="R203" s="9">
        <v>45859</v>
      </c>
      <c r="S203">
        <v>365500</v>
      </c>
      <c r="T203">
        <v>335000</v>
      </c>
    </row>
    <row r="204" spans="18:20">
      <c r="R204" s="9">
        <v>45860</v>
      </c>
      <c r="S204">
        <v>365500</v>
      </c>
      <c r="T204">
        <v>335000</v>
      </c>
    </row>
    <row r="205" spans="18:20">
      <c r="R205" s="9">
        <v>45861</v>
      </c>
      <c r="S205">
        <v>366000</v>
      </c>
      <c r="T205">
        <v>335500</v>
      </c>
    </row>
    <row r="206" spans="18:20">
      <c r="R206" s="9">
        <v>45862</v>
      </c>
      <c r="S206">
        <v>367000</v>
      </c>
      <c r="T206">
        <v>336400</v>
      </c>
    </row>
    <row r="207" spans="18:20">
      <c r="R207" s="9">
        <v>45863</v>
      </c>
      <c r="S207">
        <v>366500</v>
      </c>
      <c r="T207">
        <v>336000</v>
      </c>
    </row>
    <row r="208" spans="18:20">
      <c r="R208" s="9">
        <v>45864</v>
      </c>
      <c r="S208">
        <v>366000</v>
      </c>
      <c r="T208">
        <v>335500</v>
      </c>
    </row>
    <row r="209" spans="18:20">
      <c r="R209" s="9">
        <v>45865</v>
      </c>
      <c r="S209">
        <v>366000</v>
      </c>
      <c r="T209">
        <v>335500</v>
      </c>
    </row>
    <row r="210" spans="18:20">
      <c r="R210" s="9">
        <v>45866</v>
      </c>
      <c r="S210">
        <v>366500</v>
      </c>
      <c r="T210">
        <v>336000</v>
      </c>
    </row>
    <row r="211" spans="18:20">
      <c r="R211" s="9">
        <v>45867</v>
      </c>
      <c r="S211">
        <v>366500</v>
      </c>
      <c r="T211">
        <v>336000</v>
      </c>
    </row>
    <row r="212" spans="18:20">
      <c r="R212" s="9">
        <v>45868</v>
      </c>
      <c r="S212">
        <v>367000</v>
      </c>
      <c r="T212">
        <v>336400</v>
      </c>
    </row>
    <row r="213" spans="18:20">
      <c r="R213" s="9">
        <v>45869</v>
      </c>
      <c r="S213">
        <v>367500</v>
      </c>
      <c r="T213">
        <v>336900</v>
      </c>
    </row>
    <row r="214" spans="18:20">
      <c r="R214" s="9">
        <v>45870</v>
      </c>
      <c r="S214">
        <v>378000</v>
      </c>
      <c r="T214">
        <v>346500</v>
      </c>
    </row>
    <row r="215" spans="18:20">
      <c r="R215" s="9">
        <v>45871</v>
      </c>
      <c r="S215">
        <v>370000</v>
      </c>
      <c r="T215">
        <v>339200</v>
      </c>
    </row>
    <row r="216" spans="18:20">
      <c r="R216" s="9">
        <v>45872</v>
      </c>
      <c r="S216">
        <v>370000</v>
      </c>
      <c r="T216">
        <v>339200</v>
      </c>
    </row>
    <row r="217" spans="18:20">
      <c r="R217" s="9">
        <v>45873</v>
      </c>
      <c r="S217">
        <v>370500</v>
      </c>
      <c r="T217">
        <v>339600</v>
      </c>
    </row>
    <row r="218" spans="18:20">
      <c r="R218" s="9">
        <v>45874</v>
      </c>
      <c r="S218">
        <v>370500</v>
      </c>
      <c r="T218">
        <v>339600</v>
      </c>
    </row>
    <row r="219" spans="18:20">
      <c r="R219" s="9">
        <v>45875</v>
      </c>
      <c r="S219">
        <v>371500</v>
      </c>
      <c r="T219">
        <v>340500</v>
      </c>
    </row>
    <row r="220" spans="18:20">
      <c r="R220" s="9">
        <v>45876</v>
      </c>
      <c r="S220">
        <v>372500</v>
      </c>
      <c r="T220">
        <v>341500</v>
      </c>
    </row>
    <row r="221" spans="18:20">
      <c r="R221" s="9">
        <v>45877</v>
      </c>
      <c r="S221">
        <v>372500</v>
      </c>
      <c r="T221">
        <v>341500</v>
      </c>
    </row>
    <row r="222" spans="18:20">
      <c r="R222" s="9">
        <v>45878</v>
      </c>
      <c r="S222">
        <v>373500</v>
      </c>
      <c r="T222">
        <v>342400</v>
      </c>
    </row>
    <row r="223" spans="18:20">
      <c r="R223" s="9">
        <v>45879</v>
      </c>
      <c r="S223">
        <v>373500</v>
      </c>
      <c r="T223">
        <v>342400</v>
      </c>
    </row>
    <row r="224" spans="18:20">
      <c r="R224" s="9">
        <v>45880</v>
      </c>
      <c r="S224">
        <v>374000</v>
      </c>
      <c r="T224">
        <v>342800</v>
      </c>
    </row>
    <row r="225" spans="18:20">
      <c r="R225" s="9">
        <v>45881</v>
      </c>
      <c r="S225">
        <v>375000</v>
      </c>
      <c r="T225">
        <v>343800</v>
      </c>
    </row>
    <row r="226" spans="18:20">
      <c r="R226" s="9">
        <v>45882</v>
      </c>
      <c r="S226">
        <v>375500</v>
      </c>
      <c r="T226">
        <v>344200</v>
      </c>
    </row>
    <row r="227" spans="18:20">
      <c r="R227" s="9">
        <v>45883</v>
      </c>
      <c r="S227">
        <v>376500</v>
      </c>
      <c r="T227">
        <v>345100</v>
      </c>
    </row>
    <row r="228" spans="18:20">
      <c r="R228" s="9">
        <v>45884</v>
      </c>
      <c r="S228">
        <v>383000</v>
      </c>
      <c r="T228">
        <v>351083</v>
      </c>
    </row>
    <row r="229" spans="18:20">
      <c r="R229" s="9">
        <v>45885</v>
      </c>
      <c r="S229">
        <v>376500</v>
      </c>
      <c r="T229">
        <v>345100</v>
      </c>
    </row>
    <row r="230" spans="18:20">
      <c r="R230" s="9">
        <v>45886</v>
      </c>
      <c r="S230">
        <v>376500</v>
      </c>
      <c r="T230">
        <v>345100</v>
      </c>
    </row>
    <row r="231" spans="18:20">
      <c r="R231" s="9">
        <v>45887</v>
      </c>
      <c r="S231">
        <v>376500</v>
      </c>
      <c r="T231">
        <v>345100</v>
      </c>
    </row>
    <row r="232" spans="18:20">
      <c r="R232" s="9">
        <v>45888</v>
      </c>
      <c r="S232">
        <v>376500</v>
      </c>
      <c r="T232">
        <v>345100</v>
      </c>
    </row>
    <row r="233" spans="18:20">
      <c r="R233" s="9">
        <v>45889</v>
      </c>
      <c r="S233">
        <v>376000</v>
      </c>
      <c r="T233">
        <v>344700</v>
      </c>
    </row>
    <row r="234" spans="18:20">
      <c r="R234" s="9">
        <v>45890</v>
      </c>
      <c r="S234">
        <v>376000</v>
      </c>
      <c r="T234">
        <v>344700</v>
      </c>
    </row>
    <row r="235" spans="18:20">
      <c r="R235" s="9">
        <v>45891</v>
      </c>
      <c r="S235">
        <v>375500</v>
      </c>
      <c r="T235">
        <v>344200</v>
      </c>
    </row>
    <row r="236" spans="18:20">
      <c r="R236" s="9">
        <v>45892</v>
      </c>
      <c r="S236">
        <v>376500</v>
      </c>
      <c r="T236">
        <v>345100</v>
      </c>
    </row>
    <row r="237" spans="18:20">
      <c r="R237" s="9">
        <v>45893</v>
      </c>
      <c r="S237">
        <v>376500</v>
      </c>
      <c r="T237">
        <v>345100</v>
      </c>
    </row>
    <row r="238" spans="18:20">
      <c r="R238" s="9">
        <v>45894</v>
      </c>
      <c r="S238">
        <v>377000</v>
      </c>
      <c r="T238">
        <v>345600</v>
      </c>
    </row>
    <row r="239" spans="18:20">
      <c r="R239" s="9">
        <v>45895</v>
      </c>
      <c r="S239">
        <v>378000</v>
      </c>
      <c r="T239">
        <v>346500</v>
      </c>
    </row>
    <row r="240" spans="18:20">
      <c r="R240" s="9">
        <v>45896</v>
      </c>
      <c r="S240">
        <v>378000</v>
      </c>
      <c r="T240">
        <v>346500</v>
      </c>
    </row>
    <row r="241" spans="18:20">
      <c r="R241" s="9">
        <v>45897</v>
      </c>
      <c r="S241">
        <v>378000</v>
      </c>
      <c r="T241">
        <v>346500</v>
      </c>
    </row>
    <row r="242" spans="18:20">
      <c r="R242" s="9">
        <v>45898</v>
      </c>
      <c r="S242">
        <v>378500</v>
      </c>
      <c r="T242">
        <v>347000</v>
      </c>
    </row>
    <row r="243" spans="18:20">
      <c r="R243" s="9">
        <v>45899</v>
      </c>
      <c r="S243">
        <v>378000</v>
      </c>
      <c r="T243">
        <v>346500</v>
      </c>
    </row>
    <row r="244" spans="18:20">
      <c r="R244" s="9">
        <v>45900</v>
      </c>
      <c r="S244">
        <v>378000</v>
      </c>
      <c r="T244">
        <v>346500</v>
      </c>
    </row>
    <row r="245" spans="18:20">
      <c r="R245" s="9">
        <v>45901</v>
      </c>
      <c r="S245">
        <v>388500</v>
      </c>
      <c r="T245">
        <v>356125</v>
      </c>
    </row>
    <row r="246" spans="18:20">
      <c r="R246" s="9">
        <v>45902</v>
      </c>
      <c r="S246">
        <v>380000</v>
      </c>
      <c r="T246">
        <v>348300</v>
      </c>
    </row>
    <row r="247" spans="18:20">
      <c r="R247" s="9">
        <v>45903</v>
      </c>
      <c r="S247">
        <v>381500</v>
      </c>
      <c r="T247">
        <v>349700</v>
      </c>
    </row>
    <row r="248" spans="18:20">
      <c r="R248" s="9">
        <v>45904</v>
      </c>
      <c r="S248">
        <v>382000</v>
      </c>
      <c r="T248">
        <v>350200</v>
      </c>
    </row>
    <row r="249" spans="18:20">
      <c r="R249" s="9">
        <v>45905</v>
      </c>
      <c r="S249">
        <v>382000</v>
      </c>
      <c r="T249">
        <v>350200</v>
      </c>
    </row>
    <row r="250" spans="18:20">
      <c r="R250" s="9">
        <v>45906</v>
      </c>
      <c r="S250">
        <v>382500</v>
      </c>
      <c r="T250">
        <v>350600</v>
      </c>
    </row>
    <row r="251" spans="18:20">
      <c r="R251" s="9">
        <v>45907</v>
      </c>
      <c r="S251">
        <v>382500</v>
      </c>
      <c r="T251">
        <v>350600</v>
      </c>
    </row>
    <row r="252" spans="18:20">
      <c r="R252" s="9">
        <v>45908</v>
      </c>
      <c r="S252">
        <v>383500</v>
      </c>
      <c r="T252">
        <v>351500</v>
      </c>
    </row>
    <row r="253" spans="18:20">
      <c r="R253" s="9">
        <v>45909</v>
      </c>
      <c r="S253">
        <v>384500</v>
      </c>
      <c r="T253">
        <v>352500</v>
      </c>
    </row>
    <row r="254" spans="18:20">
      <c r="R254" s="9">
        <v>45910</v>
      </c>
      <c r="S254">
        <v>385500</v>
      </c>
      <c r="T254">
        <v>353400</v>
      </c>
    </row>
    <row r="255" spans="18:20">
      <c r="R255" s="9">
        <v>45911</v>
      </c>
      <c r="S255">
        <v>385500</v>
      </c>
      <c r="T255">
        <v>353400</v>
      </c>
    </row>
    <row r="256" spans="18:20">
      <c r="R256" s="9">
        <v>45912</v>
      </c>
      <c r="S256">
        <v>386500</v>
      </c>
      <c r="T256">
        <v>354300</v>
      </c>
    </row>
    <row r="257" spans="18:20">
      <c r="R257" s="9">
        <v>45913</v>
      </c>
      <c r="S257">
        <v>387000</v>
      </c>
      <c r="T257">
        <v>354800</v>
      </c>
    </row>
    <row r="258" spans="18:20">
      <c r="R258" s="9">
        <v>45914</v>
      </c>
      <c r="S258">
        <v>387000</v>
      </c>
      <c r="T258">
        <v>354800</v>
      </c>
    </row>
    <row r="259" spans="18:20">
      <c r="R259" s="9">
        <v>45915</v>
      </c>
      <c r="S259">
        <v>393000</v>
      </c>
      <c r="T259">
        <v>360250</v>
      </c>
    </row>
    <row r="260" spans="18:20">
      <c r="R260" s="9">
        <v>45916</v>
      </c>
      <c r="S260">
        <v>388000</v>
      </c>
      <c r="T260">
        <v>355700</v>
      </c>
    </row>
    <row r="261" spans="18:20">
      <c r="R261" s="9">
        <v>45917</v>
      </c>
      <c r="S261">
        <v>388000</v>
      </c>
      <c r="T261">
        <v>355700</v>
      </c>
    </row>
    <row r="262" spans="18:20">
      <c r="R262" s="9">
        <v>45918</v>
      </c>
      <c r="S262">
        <v>388500</v>
      </c>
      <c r="T262">
        <v>356100</v>
      </c>
    </row>
    <row r="263" spans="18:20">
      <c r="R263" s="9">
        <v>45919</v>
      </c>
      <c r="S263">
        <v>389000</v>
      </c>
      <c r="T263">
        <v>356600</v>
      </c>
    </row>
    <row r="264" spans="18:20">
      <c r="R264" s="9">
        <v>45920</v>
      </c>
      <c r="S264">
        <v>388500</v>
      </c>
      <c r="T264">
        <v>356100</v>
      </c>
    </row>
    <row r="265" spans="18:20">
      <c r="R265" s="9">
        <v>45921</v>
      </c>
      <c r="S265">
        <v>388500</v>
      </c>
      <c r="T265">
        <v>356100</v>
      </c>
    </row>
    <row r="266" spans="18:20">
      <c r="R266" s="9">
        <v>45922</v>
      </c>
      <c r="S266">
        <v>389000</v>
      </c>
      <c r="T266">
        <v>356600</v>
      </c>
    </row>
    <row r="267" spans="18:20">
      <c r="R267" s="9">
        <v>45923</v>
      </c>
      <c r="S267">
        <v>389500</v>
      </c>
      <c r="T267">
        <v>357000</v>
      </c>
    </row>
    <row r="268" spans="18:20">
      <c r="R268" s="9">
        <v>45924</v>
      </c>
      <c r="S268">
        <v>389500</v>
      </c>
      <c r="T268">
        <v>357000</v>
      </c>
    </row>
    <row r="269" spans="18:20">
      <c r="R269" s="9">
        <v>45925</v>
      </c>
      <c r="S269">
        <v>389500</v>
      </c>
      <c r="T269">
        <v>357000</v>
      </c>
    </row>
    <row r="270" spans="18:20">
      <c r="R270" s="9">
        <v>45926</v>
      </c>
      <c r="S270">
        <v>389000</v>
      </c>
      <c r="T270">
        <v>356600</v>
      </c>
    </row>
    <row r="271" spans="18:20">
      <c r="R271" s="9">
        <v>45927</v>
      </c>
      <c r="S271">
        <v>389500</v>
      </c>
      <c r="T271">
        <v>357000</v>
      </c>
    </row>
    <row r="272" spans="18:20">
      <c r="R272" s="9">
        <v>45928</v>
      </c>
      <c r="S272">
        <v>389500</v>
      </c>
      <c r="T272">
        <v>357000</v>
      </c>
    </row>
    <row r="273" spans="18:20">
      <c r="R273" s="9">
        <v>45929</v>
      </c>
      <c r="S273">
        <v>389000</v>
      </c>
      <c r="T273">
        <v>356600</v>
      </c>
    </row>
    <row r="274" spans="18:20">
      <c r="R274" s="9">
        <v>45930</v>
      </c>
      <c r="S274">
        <v>389000</v>
      </c>
      <c r="T274">
        <v>356600</v>
      </c>
    </row>
    <row r="275" spans="18:20">
      <c r="R275" s="9">
        <v>45931</v>
      </c>
      <c r="S275">
        <v>398000</v>
      </c>
      <c r="T275">
        <v>364833</v>
      </c>
    </row>
    <row r="276" spans="18:20">
      <c r="R276" s="9">
        <v>45932</v>
      </c>
      <c r="S276">
        <v>391000</v>
      </c>
      <c r="T276">
        <v>358400</v>
      </c>
    </row>
    <row r="277" spans="18:20">
      <c r="R277" s="9">
        <v>45933</v>
      </c>
      <c r="S277">
        <v>391500</v>
      </c>
      <c r="T277">
        <v>358900</v>
      </c>
    </row>
    <row r="278" spans="18:20">
      <c r="R278" s="9">
        <v>45934</v>
      </c>
      <c r="S278">
        <v>391500</v>
      </c>
      <c r="T278">
        <v>358900</v>
      </c>
    </row>
    <row r="279" spans="18:20">
      <c r="R279" s="9">
        <v>45935</v>
      </c>
      <c r="S279">
        <v>391500</v>
      </c>
      <c r="T279">
        <v>358900</v>
      </c>
    </row>
    <row r="280" spans="18:20">
      <c r="R280" s="9">
        <v>45936</v>
      </c>
      <c r="S280">
        <v>393000</v>
      </c>
      <c r="T280">
        <v>360200</v>
      </c>
    </row>
    <row r="281" spans="18:20">
      <c r="R281" s="9">
        <v>45937</v>
      </c>
      <c r="S281">
        <v>393500</v>
      </c>
      <c r="T281">
        <v>360700</v>
      </c>
    </row>
    <row r="282" spans="18:20">
      <c r="R282" s="9">
        <v>45938</v>
      </c>
      <c r="S282">
        <v>395000</v>
      </c>
      <c r="T282">
        <v>362100</v>
      </c>
    </row>
    <row r="283" spans="18:20">
      <c r="R283" s="9">
        <v>45939</v>
      </c>
      <c r="S283">
        <v>395000</v>
      </c>
      <c r="T283">
        <v>362100</v>
      </c>
    </row>
    <row r="284" spans="18:20">
      <c r="R284" s="9">
        <v>45940</v>
      </c>
      <c r="S284">
        <v>396000</v>
      </c>
      <c r="T284">
        <v>363000</v>
      </c>
    </row>
    <row r="285" spans="18:20">
      <c r="R285" s="9">
        <v>45941</v>
      </c>
      <c r="S285">
        <v>397000</v>
      </c>
      <c r="T285">
        <v>363900</v>
      </c>
    </row>
    <row r="286" spans="18:20">
      <c r="R286" s="9">
        <v>45942</v>
      </c>
      <c r="S286">
        <v>397000</v>
      </c>
      <c r="T286">
        <v>363900</v>
      </c>
    </row>
    <row r="287" spans="18:20">
      <c r="R287" s="9">
        <v>45943</v>
      </c>
      <c r="S287">
        <v>396500</v>
      </c>
      <c r="T287">
        <v>363500</v>
      </c>
    </row>
    <row r="288" spans="18:20">
      <c r="R288" s="9">
        <v>45944</v>
      </c>
      <c r="S288">
        <v>397000</v>
      </c>
      <c r="T288">
        <v>363900</v>
      </c>
    </row>
    <row r="289" spans="18:20">
      <c r="R289" s="9">
        <v>45945</v>
      </c>
      <c r="S289">
        <v>404000</v>
      </c>
      <c r="T289">
        <v>370333</v>
      </c>
    </row>
    <row r="290" spans="18:20">
      <c r="R290" s="9">
        <v>45946</v>
      </c>
      <c r="S290">
        <v>397500</v>
      </c>
      <c r="T290">
        <v>364400</v>
      </c>
    </row>
    <row r="291" spans="18:20">
      <c r="R291" s="9">
        <v>45947</v>
      </c>
      <c r="S291">
        <v>398000</v>
      </c>
      <c r="T291">
        <v>364800</v>
      </c>
    </row>
    <row r="292" spans="18:20">
      <c r="R292" s="9">
        <v>45948</v>
      </c>
      <c r="S292">
        <v>399000</v>
      </c>
      <c r="T292">
        <v>365800</v>
      </c>
    </row>
    <row r="293" spans="18:20">
      <c r="R293" s="9">
        <v>45949</v>
      </c>
      <c r="S293">
        <v>399000</v>
      </c>
      <c r="T293">
        <v>365800</v>
      </c>
    </row>
    <row r="294" spans="18:20">
      <c r="R294" s="9">
        <v>45950</v>
      </c>
      <c r="S294">
        <v>398500</v>
      </c>
      <c r="T294">
        <v>365300</v>
      </c>
    </row>
    <row r="295" spans="18:20">
      <c r="R295" s="9">
        <v>45951</v>
      </c>
      <c r="S295">
        <v>399000</v>
      </c>
      <c r="T295">
        <v>365800</v>
      </c>
    </row>
    <row r="296" spans="18:20">
      <c r="R296" s="9">
        <v>45952</v>
      </c>
      <c r="S296">
        <v>399500</v>
      </c>
      <c r="T296">
        <v>366200</v>
      </c>
    </row>
    <row r="297" spans="18:20">
      <c r="R297" s="9">
        <v>45953</v>
      </c>
      <c r="S297">
        <v>399000</v>
      </c>
      <c r="T297">
        <v>365800</v>
      </c>
    </row>
    <row r="298" spans="18:20">
      <c r="R298" s="9">
        <v>45954</v>
      </c>
      <c r="S298">
        <v>398500</v>
      </c>
      <c r="T298">
        <v>365300</v>
      </c>
    </row>
    <row r="299" spans="18:20">
      <c r="R299" s="9">
        <v>45955</v>
      </c>
      <c r="S299">
        <v>399000</v>
      </c>
      <c r="T299">
        <v>365800</v>
      </c>
    </row>
    <row r="300" spans="18:20">
      <c r="R300" s="9">
        <v>45956</v>
      </c>
      <c r="S300">
        <v>399000</v>
      </c>
      <c r="T300">
        <v>365800</v>
      </c>
    </row>
    <row r="301" spans="18:20">
      <c r="R301" s="9">
        <v>45957</v>
      </c>
      <c r="S301">
        <v>399000</v>
      </c>
      <c r="T301">
        <v>365800</v>
      </c>
    </row>
    <row r="302" spans="18:20">
      <c r="R302" s="9">
        <v>45958</v>
      </c>
      <c r="S302">
        <v>399000</v>
      </c>
      <c r="T302">
        <v>365800</v>
      </c>
    </row>
    <row r="303" spans="18:20">
      <c r="R303" s="9">
        <v>45959</v>
      </c>
      <c r="S303">
        <v>399000</v>
      </c>
      <c r="T303">
        <v>365800</v>
      </c>
    </row>
    <row r="304" spans="18:20">
      <c r="R304" s="9">
        <v>45960</v>
      </c>
      <c r="S304">
        <v>399000</v>
      </c>
      <c r="T304">
        <v>365800</v>
      </c>
    </row>
    <row r="305" spans="18:20">
      <c r="R305" s="9">
        <v>45961</v>
      </c>
      <c r="S305">
        <v>399500</v>
      </c>
      <c r="T305">
        <v>366200</v>
      </c>
    </row>
    <row r="306" spans="18:20">
      <c r="R306" s="9">
        <v>45962</v>
      </c>
      <c r="S306">
        <v>408500</v>
      </c>
      <c r="T306">
        <v>374458</v>
      </c>
    </row>
    <row r="307" spans="18:20">
      <c r="R307" s="9">
        <v>45963</v>
      </c>
      <c r="S307">
        <v>408500</v>
      </c>
      <c r="T307">
        <v>374458</v>
      </c>
    </row>
    <row r="308" spans="18:20">
      <c r="R308" s="9">
        <v>45964</v>
      </c>
      <c r="S308">
        <v>401500</v>
      </c>
      <c r="T308">
        <v>368000</v>
      </c>
    </row>
    <row r="309" spans="18:20">
      <c r="R309" s="9">
        <v>45965</v>
      </c>
      <c r="S309">
        <v>402500</v>
      </c>
      <c r="T309">
        <v>369000</v>
      </c>
    </row>
    <row r="310" spans="18:20">
      <c r="R310" s="9">
        <v>45966</v>
      </c>
      <c r="S310">
        <v>403000</v>
      </c>
      <c r="T310">
        <v>369400</v>
      </c>
    </row>
    <row r="311" spans="18:20">
      <c r="R311" s="9">
        <v>45967</v>
      </c>
      <c r="S311">
        <v>403500</v>
      </c>
      <c r="T311">
        <v>369900</v>
      </c>
    </row>
    <row r="312" spans="18:20">
      <c r="R312" s="9">
        <v>45968</v>
      </c>
      <c r="S312">
        <v>404000</v>
      </c>
      <c r="T312">
        <v>370300</v>
      </c>
    </row>
    <row r="313" spans="18:20">
      <c r="R313" s="9">
        <v>45969</v>
      </c>
      <c r="S313">
        <v>404500</v>
      </c>
      <c r="T313">
        <v>370800</v>
      </c>
    </row>
    <row r="314" spans="18:20">
      <c r="R314" s="9">
        <v>45970</v>
      </c>
      <c r="S314">
        <v>404500</v>
      </c>
      <c r="T314">
        <v>370800</v>
      </c>
    </row>
    <row r="315" spans="18:20">
      <c r="R315" s="9">
        <v>45971</v>
      </c>
      <c r="S315">
        <v>404500</v>
      </c>
      <c r="T315">
        <v>370800</v>
      </c>
    </row>
    <row r="316" spans="18:20">
      <c r="R316" s="9">
        <v>45972</v>
      </c>
      <c r="S316">
        <v>404500</v>
      </c>
      <c r="T316">
        <v>370800</v>
      </c>
    </row>
    <row r="317" spans="18:20">
      <c r="R317" s="9">
        <v>45973</v>
      </c>
      <c r="S317">
        <v>405500</v>
      </c>
      <c r="T317">
        <v>371700</v>
      </c>
    </row>
    <row r="318" spans="18:20">
      <c r="R318" s="9">
        <v>45974</v>
      </c>
      <c r="S318">
        <v>406000</v>
      </c>
      <c r="T318">
        <v>372200</v>
      </c>
    </row>
    <row r="319" spans="18:20">
      <c r="R319" s="9">
        <v>45975</v>
      </c>
      <c r="S319">
        <v>406000</v>
      </c>
      <c r="T319">
        <v>372200</v>
      </c>
    </row>
    <row r="320" spans="18:20">
      <c r="R320" s="9">
        <v>45976</v>
      </c>
      <c r="S320">
        <v>413000</v>
      </c>
      <c r="T320">
        <v>378583</v>
      </c>
    </row>
    <row r="321" spans="18:20">
      <c r="R321" s="9">
        <v>45977</v>
      </c>
      <c r="S321">
        <v>413000</v>
      </c>
      <c r="T321">
        <v>378583</v>
      </c>
    </row>
    <row r="322" spans="18:20">
      <c r="R322" s="9">
        <v>45978</v>
      </c>
      <c r="S322">
        <v>406500</v>
      </c>
      <c r="T322">
        <v>372600</v>
      </c>
    </row>
    <row r="323" spans="18:20">
      <c r="R323" s="9">
        <v>45979</v>
      </c>
      <c r="S323">
        <v>406500</v>
      </c>
      <c r="T323">
        <v>372600</v>
      </c>
    </row>
    <row r="324" spans="18:20">
      <c r="R324" s="9">
        <v>45980</v>
      </c>
      <c r="S324">
        <v>406500</v>
      </c>
      <c r="T324">
        <v>372600</v>
      </c>
    </row>
    <row r="325" spans="18:20">
      <c r="R325" s="9">
        <v>45981</v>
      </c>
      <c r="S325">
        <v>407500</v>
      </c>
      <c r="T325">
        <v>373500</v>
      </c>
    </row>
    <row r="326" spans="18:20">
      <c r="R326" s="9">
        <v>45982</v>
      </c>
      <c r="S326">
        <v>407500</v>
      </c>
      <c r="T326">
        <v>373500</v>
      </c>
    </row>
    <row r="327" spans="18:20">
      <c r="R327" s="9">
        <v>45983</v>
      </c>
      <c r="S327">
        <v>408500</v>
      </c>
      <c r="T327">
        <v>374500</v>
      </c>
    </row>
    <row r="328" spans="18:20">
      <c r="R328" s="9">
        <v>45984</v>
      </c>
      <c r="S328">
        <v>408500</v>
      </c>
      <c r="T328">
        <v>374500</v>
      </c>
    </row>
    <row r="329" spans="18:20">
      <c r="R329" s="9">
        <v>45985</v>
      </c>
      <c r="S329">
        <v>408500</v>
      </c>
      <c r="T329">
        <v>374500</v>
      </c>
    </row>
    <row r="330" spans="18:20">
      <c r="R330" s="9">
        <v>45986</v>
      </c>
      <c r="S330">
        <v>408000</v>
      </c>
      <c r="T330">
        <v>374000</v>
      </c>
    </row>
    <row r="331" spans="18:20">
      <c r="R331" s="9">
        <v>45987</v>
      </c>
      <c r="S331">
        <v>408500</v>
      </c>
      <c r="T331">
        <v>374500</v>
      </c>
    </row>
    <row r="332" spans="18:20">
      <c r="R332" s="9">
        <v>45988</v>
      </c>
      <c r="S332">
        <v>408500</v>
      </c>
      <c r="T332">
        <v>374500</v>
      </c>
    </row>
    <row r="333" spans="18:20">
      <c r="R333" s="9">
        <v>45989</v>
      </c>
      <c r="S333">
        <v>409500</v>
      </c>
      <c r="T333">
        <v>375400</v>
      </c>
    </row>
    <row r="334" spans="18:20">
      <c r="R334" s="9">
        <v>45990</v>
      </c>
      <c r="S334">
        <v>409500</v>
      </c>
      <c r="T334">
        <v>375400</v>
      </c>
    </row>
    <row r="335" spans="18:20">
      <c r="R335" s="9">
        <v>45991</v>
      </c>
      <c r="S335">
        <v>409500</v>
      </c>
      <c r="T335">
        <v>375400</v>
      </c>
    </row>
    <row r="336" spans="18:20">
      <c r="R336" s="9">
        <v>45992</v>
      </c>
      <c r="S336">
        <v>415000</v>
      </c>
      <c r="T336">
        <v>380417</v>
      </c>
    </row>
    <row r="337" spans="18:20">
      <c r="R337" s="9">
        <v>45993</v>
      </c>
      <c r="S337">
        <v>410500</v>
      </c>
      <c r="T337">
        <v>376300</v>
      </c>
    </row>
    <row r="338" spans="18:20">
      <c r="R338" s="9">
        <v>45994</v>
      </c>
      <c r="S338">
        <v>411500</v>
      </c>
      <c r="T338">
        <v>377200</v>
      </c>
    </row>
    <row r="339" spans="18:20">
      <c r="R339" s="9">
        <v>45995</v>
      </c>
      <c r="S339">
        <v>411500</v>
      </c>
      <c r="T339">
        <v>377200</v>
      </c>
    </row>
    <row r="340" spans="18:20">
      <c r="R340" s="9">
        <v>45996</v>
      </c>
      <c r="S340">
        <v>412000</v>
      </c>
      <c r="T340">
        <v>377700</v>
      </c>
    </row>
    <row r="341" spans="18:20">
      <c r="R341" s="9">
        <v>45997</v>
      </c>
      <c r="S341">
        <v>412000</v>
      </c>
      <c r="T341">
        <v>377700</v>
      </c>
    </row>
    <row r="342" spans="18:20">
      <c r="R342" s="9">
        <v>45998</v>
      </c>
      <c r="S342">
        <v>412000</v>
      </c>
      <c r="T342">
        <v>377700</v>
      </c>
    </row>
    <row r="343" spans="18:20">
      <c r="R343" s="9">
        <v>45999</v>
      </c>
      <c r="S343">
        <v>412500</v>
      </c>
      <c r="T343">
        <v>378100</v>
      </c>
    </row>
    <row r="344" spans="18:20">
      <c r="R344" s="9">
        <v>46000</v>
      </c>
      <c r="S344">
        <v>413500</v>
      </c>
      <c r="T344">
        <v>379000</v>
      </c>
    </row>
    <row r="345" spans="18:20">
      <c r="R345" s="9">
        <v>46001</v>
      </c>
      <c r="S345">
        <v>414500</v>
      </c>
      <c r="T345">
        <v>380000</v>
      </c>
    </row>
    <row r="346" spans="18:20">
      <c r="R346" s="9">
        <v>46002</v>
      </c>
      <c r="S346">
        <v>415000</v>
      </c>
      <c r="T346">
        <v>380400</v>
      </c>
    </row>
    <row r="347" spans="18:20">
      <c r="R347" s="9">
        <v>46003</v>
      </c>
      <c r="S347">
        <v>416000</v>
      </c>
      <c r="T347">
        <v>381300</v>
      </c>
    </row>
    <row r="348" spans="18:20">
      <c r="R348" s="9">
        <v>46004</v>
      </c>
      <c r="S348">
        <v>416500</v>
      </c>
      <c r="T348">
        <v>381800</v>
      </c>
    </row>
    <row r="349" spans="18:20">
      <c r="R349" s="9">
        <v>46005</v>
      </c>
      <c r="S349">
        <v>416500</v>
      </c>
      <c r="T349">
        <v>381800</v>
      </c>
    </row>
    <row r="350" spans="18:20">
      <c r="R350" s="9">
        <v>46006</v>
      </c>
      <c r="S350">
        <v>420000</v>
      </c>
      <c r="T350">
        <v>385000</v>
      </c>
    </row>
    <row r="351" spans="18:20">
      <c r="R351" s="9">
        <v>46007</v>
      </c>
      <c r="S351">
        <v>417000</v>
      </c>
      <c r="T351">
        <v>382200</v>
      </c>
    </row>
    <row r="352" spans="18:20">
      <c r="R352" s="9">
        <v>46008</v>
      </c>
      <c r="S352">
        <v>416500</v>
      </c>
      <c r="T352">
        <v>381800</v>
      </c>
    </row>
    <row r="353" spans="18:20">
      <c r="R353" s="9">
        <v>46009</v>
      </c>
      <c r="S353">
        <v>416000</v>
      </c>
      <c r="T353">
        <v>381300</v>
      </c>
    </row>
    <row r="354" spans="18:20">
      <c r="R354" s="9">
        <v>46010</v>
      </c>
      <c r="S354">
        <v>415500</v>
      </c>
      <c r="T354">
        <v>380900</v>
      </c>
    </row>
    <row r="355" spans="18:20">
      <c r="R355" s="9">
        <v>46011</v>
      </c>
      <c r="S355">
        <v>416000</v>
      </c>
      <c r="T355">
        <v>381300</v>
      </c>
    </row>
    <row r="356" spans="18:20">
      <c r="R356" s="9">
        <v>46012</v>
      </c>
      <c r="S356">
        <v>416000</v>
      </c>
      <c r="T356">
        <v>381300</v>
      </c>
    </row>
    <row r="357" spans="18:20">
      <c r="R357" s="9">
        <v>46013</v>
      </c>
      <c r="S357">
        <v>415500</v>
      </c>
      <c r="T357">
        <v>380900</v>
      </c>
    </row>
    <row r="358" spans="18:20">
      <c r="R358" s="9">
        <v>46014</v>
      </c>
      <c r="S358">
        <v>416000</v>
      </c>
      <c r="T358">
        <v>381300</v>
      </c>
    </row>
    <row r="359" spans="18:20">
      <c r="R359" s="9">
        <v>46015</v>
      </c>
      <c r="S359">
        <v>416000</v>
      </c>
      <c r="T359">
        <v>381300</v>
      </c>
    </row>
    <row r="360" spans="18:20">
      <c r="R360" s="9">
        <v>46016</v>
      </c>
      <c r="S360">
        <v>416500</v>
      </c>
      <c r="T360">
        <v>381800</v>
      </c>
    </row>
    <row r="361" spans="18:20">
      <c r="R361" s="9">
        <v>46017</v>
      </c>
      <c r="S361">
        <v>416500</v>
      </c>
      <c r="T361">
        <v>381800</v>
      </c>
    </row>
    <row r="362" spans="18:20">
      <c r="R362" s="9">
        <v>46018</v>
      </c>
      <c r="S362">
        <v>417000</v>
      </c>
      <c r="T362">
        <v>382200</v>
      </c>
    </row>
    <row r="363" spans="18:20">
      <c r="R363" s="9">
        <v>46019</v>
      </c>
      <c r="S363">
        <v>417000</v>
      </c>
      <c r="T363">
        <v>382200</v>
      </c>
    </row>
    <row r="364" spans="18:20">
      <c r="R364" s="9">
        <v>46020</v>
      </c>
      <c r="S364">
        <v>416500</v>
      </c>
      <c r="T364">
        <v>381800</v>
      </c>
    </row>
    <row r="365" spans="18:20">
      <c r="R365" s="9">
        <v>46021</v>
      </c>
      <c r="S365">
        <v>416500</v>
      </c>
      <c r="T365">
        <v>381800</v>
      </c>
    </row>
    <row r="366" spans="18:20">
      <c r="R366" s="9">
        <v>46022</v>
      </c>
      <c r="S366">
        <v>417500</v>
      </c>
      <c r="T366">
        <v>382700</v>
      </c>
    </row>
    <row r="367" spans="18:20">
      <c r="R367" s="9">
        <v>46023</v>
      </c>
      <c r="S367">
        <v>418000</v>
      </c>
      <c r="T367">
        <v>383200</v>
      </c>
    </row>
    <row r="368" spans="18:20">
      <c r="R368" s="9">
        <v>46024</v>
      </c>
      <c r="S368">
        <v>418500</v>
      </c>
      <c r="T368">
        <v>383600</v>
      </c>
    </row>
    <row r="369" spans="18:20">
      <c r="R369" s="9">
        <v>46025</v>
      </c>
      <c r="S369">
        <v>419000</v>
      </c>
      <c r="T369">
        <v>384100</v>
      </c>
    </row>
    <row r="370" spans="18:20">
      <c r="R370" s="9">
        <v>46026</v>
      </c>
      <c r="S370">
        <v>419000</v>
      </c>
      <c r="T370">
        <v>384100</v>
      </c>
    </row>
    <row r="371" spans="18:20">
      <c r="R371" s="9">
        <v>46027</v>
      </c>
      <c r="S371">
        <v>420000</v>
      </c>
      <c r="T371">
        <v>385000</v>
      </c>
    </row>
    <row r="372" spans="18:20">
      <c r="R372" s="9">
        <v>46028</v>
      </c>
      <c r="S372">
        <v>419500</v>
      </c>
      <c r="T372">
        <v>384500</v>
      </c>
    </row>
    <row r="373" spans="18:20">
      <c r="R373" s="9">
        <v>46029</v>
      </c>
      <c r="S373">
        <v>420500</v>
      </c>
      <c r="T373">
        <v>385500</v>
      </c>
    </row>
    <row r="374" spans="18:20">
      <c r="R374" s="9">
        <v>46030</v>
      </c>
      <c r="S374">
        <v>421000</v>
      </c>
      <c r="T374">
        <v>385900</v>
      </c>
    </row>
    <row r="375" spans="18:20">
      <c r="R375" s="9">
        <v>46031</v>
      </c>
      <c r="S375">
        <v>421000</v>
      </c>
      <c r="T375">
        <v>385900</v>
      </c>
    </row>
    <row r="376" spans="18:20">
      <c r="R376" s="9">
        <v>46032</v>
      </c>
      <c r="S376">
        <v>421500</v>
      </c>
      <c r="T376">
        <v>386400</v>
      </c>
    </row>
    <row r="377" spans="18:20">
      <c r="R377" s="9">
        <v>46033</v>
      </c>
      <c r="S377">
        <v>421500</v>
      </c>
      <c r="T377">
        <v>386400</v>
      </c>
    </row>
    <row r="378" spans="18:20">
      <c r="R378" s="9">
        <v>46034</v>
      </c>
      <c r="S378">
        <v>421500</v>
      </c>
      <c r="T378">
        <v>386400</v>
      </c>
    </row>
    <row r="379" spans="18:20">
      <c r="R379" s="9">
        <v>46035</v>
      </c>
      <c r="S379">
        <v>422000</v>
      </c>
      <c r="T379">
        <v>386800</v>
      </c>
    </row>
    <row r="380" spans="18:20">
      <c r="R380" s="9">
        <v>46036</v>
      </c>
      <c r="S380">
        <v>422500</v>
      </c>
      <c r="T380">
        <v>387300</v>
      </c>
    </row>
    <row r="381" spans="18:20">
      <c r="R381" s="9">
        <v>46037</v>
      </c>
      <c r="S381">
        <v>422500</v>
      </c>
      <c r="T381">
        <v>387300</v>
      </c>
    </row>
    <row r="382" spans="18:20">
      <c r="R382" s="9">
        <v>46038</v>
      </c>
      <c r="S382">
        <v>422000</v>
      </c>
      <c r="T382">
        <v>386800</v>
      </c>
    </row>
    <row r="383" spans="18:20">
      <c r="R383" s="9">
        <v>46039</v>
      </c>
      <c r="S383">
        <v>423000</v>
      </c>
      <c r="T383">
        <v>387800</v>
      </c>
    </row>
    <row r="384" spans="18:20">
      <c r="R384" s="9">
        <v>46040</v>
      </c>
      <c r="S384">
        <v>423000</v>
      </c>
      <c r="T384">
        <v>387800</v>
      </c>
    </row>
    <row r="385" spans="18:20">
      <c r="R385" s="9">
        <v>46041</v>
      </c>
      <c r="S385">
        <v>423000</v>
      </c>
      <c r="T385">
        <v>387800</v>
      </c>
    </row>
    <row r="386" spans="18:20">
      <c r="R386" s="9">
        <v>46042</v>
      </c>
      <c r="S386">
        <v>423500</v>
      </c>
      <c r="T386">
        <v>388200</v>
      </c>
    </row>
    <row r="387" spans="18:20">
      <c r="R387" s="9">
        <v>46043</v>
      </c>
      <c r="S387">
        <v>422500</v>
      </c>
      <c r="T387">
        <v>387300</v>
      </c>
    </row>
    <row r="388" spans="18:20">
      <c r="R388" s="9">
        <v>46044</v>
      </c>
      <c r="S388">
        <v>422000</v>
      </c>
      <c r="T388">
        <v>386800</v>
      </c>
    </row>
    <row r="389" spans="18:20">
      <c r="R389" s="9">
        <v>46045</v>
      </c>
      <c r="S389">
        <v>421500</v>
      </c>
      <c r="T389">
        <v>386400</v>
      </c>
    </row>
    <row r="390" spans="18:20">
      <c r="R390" s="9">
        <v>46046</v>
      </c>
      <c r="S390">
        <v>421000</v>
      </c>
      <c r="T390">
        <v>385900</v>
      </c>
    </row>
    <row r="391" spans="18:20">
      <c r="R391" s="9">
        <v>46047</v>
      </c>
      <c r="S391">
        <v>421000</v>
      </c>
      <c r="T391">
        <v>385900</v>
      </c>
    </row>
    <row r="392" spans="18:20">
      <c r="R392" s="9">
        <v>46048</v>
      </c>
      <c r="S392">
        <v>421000</v>
      </c>
      <c r="T392">
        <v>385900</v>
      </c>
    </row>
    <row r="393" spans="18:20">
      <c r="R393" s="9">
        <v>46049</v>
      </c>
      <c r="S393">
        <v>421500</v>
      </c>
      <c r="T393">
        <v>386400</v>
      </c>
    </row>
    <row r="394" spans="18:20">
      <c r="R394" s="9">
        <v>46050</v>
      </c>
      <c r="S394">
        <v>421500</v>
      </c>
      <c r="T394">
        <v>386400</v>
      </c>
    </row>
    <row r="395" spans="18:20">
      <c r="R395" s="9">
        <v>46051</v>
      </c>
      <c r="S395">
        <v>422500</v>
      </c>
      <c r="T395">
        <v>387300</v>
      </c>
    </row>
    <row r="396" spans="18:20">
      <c r="R396" s="9">
        <v>46052</v>
      </c>
      <c r="S396">
        <v>423000</v>
      </c>
      <c r="T396">
        <v>387800</v>
      </c>
    </row>
    <row r="397" spans="18:20">
      <c r="R397" s="9">
        <v>46053</v>
      </c>
      <c r="S397">
        <v>423500</v>
      </c>
      <c r="T397">
        <v>388200</v>
      </c>
    </row>
    <row r="398" spans="18:20">
      <c r="R398" s="9">
        <v>46054</v>
      </c>
      <c r="S398">
        <v>423500</v>
      </c>
      <c r="T398">
        <v>388200</v>
      </c>
    </row>
    <row r="399" spans="18:20">
      <c r="R399" s="9">
        <v>46055</v>
      </c>
      <c r="S399">
        <v>423000</v>
      </c>
      <c r="T399">
        <v>387800</v>
      </c>
    </row>
    <row r="400" spans="18:20">
      <c r="R400" s="9">
        <v>46056</v>
      </c>
      <c r="S400">
        <v>423500</v>
      </c>
      <c r="T400">
        <v>388200</v>
      </c>
    </row>
    <row r="401" spans="18:20">
      <c r="R401" s="9">
        <v>46057</v>
      </c>
      <c r="S401">
        <v>423500</v>
      </c>
      <c r="T401">
        <v>388200</v>
      </c>
    </row>
    <row r="402" spans="18:20">
      <c r="R402" s="9">
        <v>46058</v>
      </c>
      <c r="S402">
        <v>423000</v>
      </c>
      <c r="T402">
        <v>387800</v>
      </c>
    </row>
    <row r="403" spans="18:20">
      <c r="R403" s="9">
        <v>46059</v>
      </c>
      <c r="S403">
        <v>423000</v>
      </c>
      <c r="T403">
        <v>387800</v>
      </c>
    </row>
    <row r="404" spans="18:20">
      <c r="R404" s="9">
        <v>46060</v>
      </c>
      <c r="S404">
        <v>423000</v>
      </c>
      <c r="T404">
        <v>387800</v>
      </c>
    </row>
    <row r="405" spans="18:20">
      <c r="R405" s="9">
        <v>46061</v>
      </c>
      <c r="S405">
        <v>423000</v>
      </c>
      <c r="T405">
        <v>387800</v>
      </c>
    </row>
    <row r="406" spans="18:20">
      <c r="R406" s="9">
        <v>46062</v>
      </c>
      <c r="S406">
        <v>423000</v>
      </c>
      <c r="T406">
        <v>387800</v>
      </c>
    </row>
    <row r="407" spans="18:20">
      <c r="R407" s="9">
        <v>46063</v>
      </c>
      <c r="S407">
        <v>422500</v>
      </c>
      <c r="T407">
        <v>387300</v>
      </c>
    </row>
    <row r="408" spans="18:20">
      <c r="R408" s="9">
        <v>46064</v>
      </c>
      <c r="S408">
        <v>423500</v>
      </c>
      <c r="T408">
        <v>388200</v>
      </c>
    </row>
    <row r="409" spans="18:20">
      <c r="R409" s="9">
        <v>46065</v>
      </c>
      <c r="S409">
        <v>423000</v>
      </c>
      <c r="T409">
        <v>387800</v>
      </c>
    </row>
    <row r="410" spans="18:20">
      <c r="R410" s="9">
        <v>46066</v>
      </c>
      <c r="S410">
        <v>423500</v>
      </c>
      <c r="T410">
        <v>388200</v>
      </c>
    </row>
    <row r="411" spans="18:20">
      <c r="R411" s="9">
        <v>46067</v>
      </c>
      <c r="S411">
        <v>424000</v>
      </c>
      <c r="T411">
        <v>388700</v>
      </c>
    </row>
    <row r="412" spans="18:20">
      <c r="R412" s="9">
        <v>46068</v>
      </c>
      <c r="S412">
        <v>424000</v>
      </c>
      <c r="T412">
        <v>388700</v>
      </c>
    </row>
    <row r="413" spans="18:20">
      <c r="R413" s="9">
        <v>46069</v>
      </c>
      <c r="S413">
        <v>424500</v>
      </c>
      <c r="T413">
        <v>389100</v>
      </c>
    </row>
    <row r="414" spans="18:20">
      <c r="R414" s="9">
        <v>46070</v>
      </c>
      <c r="S414">
        <v>425000</v>
      </c>
      <c r="T414">
        <v>389600</v>
      </c>
    </row>
    <row r="415" spans="18:20">
      <c r="R415" s="9">
        <v>46071</v>
      </c>
      <c r="S415">
        <v>425000</v>
      </c>
      <c r="T415">
        <v>389600</v>
      </c>
    </row>
    <row r="416" spans="18:20">
      <c r="R416" s="9">
        <v>46072</v>
      </c>
      <c r="S416">
        <v>425500</v>
      </c>
      <c r="T416">
        <v>390000</v>
      </c>
    </row>
    <row r="417" spans="18:20">
      <c r="R417" s="9">
        <v>46073</v>
      </c>
      <c r="S417">
        <v>424500</v>
      </c>
      <c r="T417">
        <v>389100</v>
      </c>
    </row>
    <row r="418" spans="18:20">
      <c r="R418" s="9">
        <v>46074</v>
      </c>
      <c r="S418">
        <v>424000</v>
      </c>
      <c r="T418">
        <v>388700</v>
      </c>
    </row>
    <row r="419" spans="18:20">
      <c r="R419" s="9">
        <v>46075</v>
      </c>
      <c r="S419">
        <v>424000</v>
      </c>
      <c r="T419">
        <v>388700</v>
      </c>
    </row>
    <row r="420" spans="18:20">
      <c r="R420" s="9">
        <v>46076</v>
      </c>
      <c r="S420">
        <v>424500</v>
      </c>
      <c r="T420">
        <v>389100</v>
      </c>
    </row>
    <row r="421" spans="18:20">
      <c r="R421" s="9">
        <v>46077</v>
      </c>
      <c r="S421">
        <v>424500</v>
      </c>
      <c r="T421">
        <v>389100</v>
      </c>
    </row>
    <row r="422" spans="18:20">
      <c r="R422" s="9">
        <v>46078</v>
      </c>
      <c r="S422">
        <v>425000</v>
      </c>
      <c r="T422">
        <v>389600</v>
      </c>
    </row>
    <row r="423" spans="18:20">
      <c r="R423" s="9">
        <v>46079</v>
      </c>
      <c r="S423">
        <v>425500</v>
      </c>
      <c r="T423">
        <v>390000</v>
      </c>
    </row>
    <row r="424" spans="18:20">
      <c r="R424" s="9">
        <v>46080</v>
      </c>
      <c r="S424">
        <v>425500</v>
      </c>
      <c r="T424">
        <v>390000</v>
      </c>
    </row>
    <row r="425" spans="18:20">
      <c r="R425" s="9">
        <v>46081</v>
      </c>
      <c r="S425">
        <v>425500</v>
      </c>
      <c r="T425">
        <v>390000</v>
      </c>
    </row>
    <row r="426" spans="18:20">
      <c r="R426" s="9">
        <v>46082</v>
      </c>
      <c r="S426">
        <v>425500</v>
      </c>
      <c r="T426">
        <v>390000</v>
      </c>
    </row>
    <row r="427" spans="18:20">
      <c r="R427" s="9">
        <v>46083</v>
      </c>
      <c r="S427">
        <v>426000</v>
      </c>
      <c r="T427">
        <v>390500</v>
      </c>
    </row>
    <row r="428" spans="18:20">
      <c r="R428" s="9">
        <v>46084</v>
      </c>
      <c r="S428">
        <v>426500</v>
      </c>
      <c r="T428">
        <v>391000</v>
      </c>
    </row>
    <row r="429" spans="18:20">
      <c r="R429" s="9">
        <v>46085</v>
      </c>
      <c r="S429">
        <v>426500</v>
      </c>
      <c r="T429">
        <v>391000</v>
      </c>
    </row>
    <row r="430" spans="18:20">
      <c r="R430" s="9">
        <v>46086</v>
      </c>
      <c r="S430">
        <v>427500</v>
      </c>
      <c r="T430">
        <v>391900</v>
      </c>
    </row>
    <row r="431" spans="18:20">
      <c r="R431" s="9">
        <v>46087</v>
      </c>
      <c r="S431">
        <v>427500</v>
      </c>
      <c r="T431">
        <v>391900</v>
      </c>
    </row>
    <row r="432" spans="18:20">
      <c r="R432" s="9">
        <v>46088</v>
      </c>
      <c r="S432">
        <v>428000</v>
      </c>
      <c r="T432">
        <v>392300</v>
      </c>
    </row>
    <row r="433" spans="18:20">
      <c r="R433" s="9">
        <v>46089</v>
      </c>
      <c r="S433">
        <v>428000</v>
      </c>
      <c r="T433">
        <v>392300</v>
      </c>
    </row>
    <row r="434" spans="18:20">
      <c r="R434" s="9">
        <v>46090</v>
      </c>
      <c r="S434">
        <v>428500</v>
      </c>
      <c r="T434">
        <v>392800</v>
      </c>
    </row>
    <row r="435" spans="18:20">
      <c r="R435" s="9">
        <v>46091</v>
      </c>
      <c r="S435">
        <v>428500</v>
      </c>
      <c r="T435">
        <v>392800</v>
      </c>
    </row>
    <row r="436" spans="18:20">
      <c r="R436" s="9">
        <v>46092</v>
      </c>
      <c r="S436">
        <v>428000</v>
      </c>
      <c r="T436">
        <v>392300</v>
      </c>
    </row>
    <row r="437" spans="18:20">
      <c r="R437" s="9">
        <v>46093</v>
      </c>
      <c r="S437">
        <v>427500</v>
      </c>
      <c r="T437">
        <v>391900</v>
      </c>
    </row>
    <row r="438" spans="18:20">
      <c r="R438" s="9">
        <v>46094</v>
      </c>
      <c r="S438">
        <v>427500</v>
      </c>
      <c r="T438">
        <v>391900</v>
      </c>
    </row>
    <row r="439" spans="18:20">
      <c r="R439" s="9">
        <v>46095</v>
      </c>
      <c r="S439">
        <v>427500</v>
      </c>
      <c r="T439">
        <v>391900</v>
      </c>
    </row>
    <row r="440" spans="18:20">
      <c r="R440" s="9">
        <v>46096</v>
      </c>
      <c r="S440">
        <v>427500</v>
      </c>
      <c r="T440">
        <v>391900</v>
      </c>
    </row>
    <row r="441" spans="18:20">
      <c r="R441" s="9">
        <v>46097</v>
      </c>
      <c r="S441">
        <v>427000</v>
      </c>
      <c r="T441">
        <v>391400</v>
      </c>
    </row>
    <row r="442" spans="18:20">
      <c r="R442" s="9">
        <v>46098</v>
      </c>
      <c r="S442">
        <v>427500</v>
      </c>
      <c r="T442">
        <v>391900</v>
      </c>
    </row>
    <row r="443" spans="18:20">
      <c r="R443" s="9">
        <v>46099</v>
      </c>
      <c r="S443">
        <v>427500</v>
      </c>
      <c r="T443">
        <v>391900</v>
      </c>
    </row>
    <row r="444" spans="18:20">
      <c r="R444" s="9">
        <v>46100</v>
      </c>
      <c r="S444">
        <v>428000</v>
      </c>
      <c r="T444">
        <v>392300</v>
      </c>
    </row>
    <row r="445" spans="18:20">
      <c r="R445" s="9">
        <v>46101</v>
      </c>
      <c r="S445">
        <v>428500</v>
      </c>
      <c r="T445">
        <v>392800</v>
      </c>
    </row>
    <row r="446" spans="18:20">
      <c r="R446" s="9">
        <v>46102</v>
      </c>
      <c r="S446">
        <v>429000</v>
      </c>
      <c r="T446">
        <v>393200</v>
      </c>
    </row>
    <row r="447" spans="18:20">
      <c r="R447" s="9">
        <v>46103</v>
      </c>
      <c r="S447">
        <v>429000</v>
      </c>
      <c r="T447">
        <v>393200</v>
      </c>
    </row>
    <row r="448" spans="18:20">
      <c r="R448" s="9">
        <v>46104</v>
      </c>
      <c r="S448">
        <v>430000</v>
      </c>
      <c r="T448">
        <v>394200</v>
      </c>
    </row>
    <row r="449" spans="18:20">
      <c r="R449" s="9">
        <v>46105</v>
      </c>
      <c r="S449">
        <v>429500</v>
      </c>
      <c r="T449">
        <v>393700</v>
      </c>
    </row>
    <row r="450" spans="18:20">
      <c r="R450" s="9">
        <v>46106</v>
      </c>
      <c r="S450">
        <v>429500</v>
      </c>
      <c r="T450">
        <v>393700</v>
      </c>
    </row>
    <row r="451" spans="18:20">
      <c r="R451" s="9">
        <v>46107</v>
      </c>
      <c r="S451">
        <v>429500</v>
      </c>
      <c r="T451">
        <v>393700</v>
      </c>
    </row>
    <row r="452" spans="18:20">
      <c r="R452" s="9">
        <v>46108</v>
      </c>
      <c r="S452">
        <v>429000</v>
      </c>
      <c r="T452">
        <v>393200</v>
      </c>
    </row>
    <row r="453" spans="18:20">
      <c r="R453" s="9">
        <v>46109</v>
      </c>
      <c r="S453">
        <v>429000</v>
      </c>
      <c r="T453">
        <v>393200</v>
      </c>
    </row>
    <row r="454" spans="18:20">
      <c r="R454" s="9">
        <v>46110</v>
      </c>
      <c r="S454">
        <v>429000</v>
      </c>
      <c r="T454">
        <v>393200</v>
      </c>
    </row>
    <row r="455" spans="18:20">
      <c r="R455" s="9">
        <v>46111</v>
      </c>
      <c r="S455">
        <v>428500</v>
      </c>
      <c r="T455">
        <v>392800</v>
      </c>
    </row>
    <row r="456" spans="18:20">
      <c r="R456" s="9">
        <v>46112</v>
      </c>
      <c r="S456">
        <v>428000</v>
      </c>
      <c r="T456">
        <v>392300</v>
      </c>
    </row>
    <row r="457" spans="18:20">
      <c r="R457" s="9">
        <v>46113</v>
      </c>
      <c r="S457">
        <v>427500</v>
      </c>
      <c r="T457">
        <v>391900</v>
      </c>
    </row>
    <row r="458" spans="18:20">
      <c r="R458" s="9">
        <v>46114</v>
      </c>
      <c r="S458">
        <v>427500</v>
      </c>
      <c r="T458">
        <v>391900</v>
      </c>
    </row>
    <row r="459" spans="18:20">
      <c r="R459" s="9">
        <v>46115</v>
      </c>
      <c r="S459">
        <v>427500</v>
      </c>
      <c r="T459">
        <v>391900</v>
      </c>
    </row>
    <row r="460" spans="18:20">
      <c r="R460" s="9">
        <v>46116</v>
      </c>
      <c r="S460">
        <v>428000</v>
      </c>
      <c r="T460">
        <v>392300</v>
      </c>
    </row>
    <row r="461" spans="18:20">
      <c r="R461" s="9">
        <v>46117</v>
      </c>
      <c r="S461">
        <v>428000</v>
      </c>
      <c r="T461">
        <v>392300</v>
      </c>
    </row>
    <row r="462" spans="18:20">
      <c r="R462" s="9">
        <v>46118</v>
      </c>
      <c r="S462">
        <v>428000</v>
      </c>
      <c r="T462">
        <v>392300</v>
      </c>
    </row>
    <row r="463" spans="18:20">
      <c r="R463" s="9">
        <v>46119</v>
      </c>
      <c r="S463">
        <v>429000</v>
      </c>
      <c r="T463">
        <v>393200</v>
      </c>
    </row>
    <row r="464" spans="18:20">
      <c r="R464" s="9">
        <v>46120</v>
      </c>
      <c r="S464">
        <v>428500</v>
      </c>
      <c r="T464">
        <v>392800</v>
      </c>
    </row>
    <row r="465" spans="18:20">
      <c r="R465" s="9">
        <v>46121</v>
      </c>
      <c r="S465">
        <v>428500</v>
      </c>
      <c r="T465">
        <v>392800</v>
      </c>
    </row>
    <row r="466" spans="18:20">
      <c r="R466" s="9">
        <v>46122</v>
      </c>
      <c r="S466">
        <v>429000</v>
      </c>
      <c r="T466">
        <v>393200</v>
      </c>
    </row>
    <row r="467" spans="18:20">
      <c r="R467" s="9">
        <v>46123</v>
      </c>
      <c r="S467">
        <v>429000</v>
      </c>
      <c r="T467">
        <v>393200</v>
      </c>
    </row>
    <row r="468" spans="18:20">
      <c r="R468" s="9">
        <v>46124</v>
      </c>
      <c r="S468">
        <v>429000</v>
      </c>
      <c r="T468">
        <v>393200</v>
      </c>
    </row>
    <row r="469" spans="18:20">
      <c r="R469" s="9">
        <v>46125</v>
      </c>
      <c r="S469">
        <v>429500</v>
      </c>
      <c r="T469">
        <v>393700</v>
      </c>
    </row>
    <row r="470" spans="18:20">
      <c r="R470" s="9">
        <v>46126</v>
      </c>
      <c r="S470">
        <v>429500</v>
      </c>
      <c r="T470">
        <v>393700</v>
      </c>
    </row>
    <row r="471" spans="18:20">
      <c r="R471" s="9">
        <v>46127</v>
      </c>
      <c r="S471">
        <v>429500</v>
      </c>
      <c r="T471">
        <v>393700</v>
      </c>
    </row>
    <row r="472" spans="18:20">
      <c r="R472" s="9">
        <v>46128</v>
      </c>
      <c r="S472">
        <v>429500</v>
      </c>
      <c r="T472">
        <v>393700</v>
      </c>
    </row>
    <row r="473" spans="18:20">
      <c r="R473" s="9">
        <v>46129</v>
      </c>
      <c r="S473">
        <v>429500</v>
      </c>
      <c r="T473">
        <v>393700</v>
      </c>
    </row>
    <row r="474" spans="18:20">
      <c r="R474" s="9">
        <v>46130</v>
      </c>
      <c r="S474">
        <v>429000</v>
      </c>
      <c r="T474">
        <v>393200</v>
      </c>
    </row>
    <row r="475" spans="18:20">
      <c r="R475" s="9">
        <v>46131</v>
      </c>
      <c r="S475">
        <v>429000</v>
      </c>
      <c r="T475">
        <v>393200</v>
      </c>
    </row>
    <row r="476" spans="18:20">
      <c r="R476" s="9">
        <v>46132</v>
      </c>
      <c r="S476">
        <v>430000</v>
      </c>
      <c r="T476">
        <v>394200</v>
      </c>
    </row>
    <row r="477" spans="18:20">
      <c r="R477" s="9">
        <v>46133</v>
      </c>
      <c r="S477">
        <v>430000</v>
      </c>
      <c r="T477">
        <v>394200</v>
      </c>
    </row>
    <row r="478" spans="18:20">
      <c r="R478" s="9">
        <v>46134</v>
      </c>
      <c r="S478">
        <v>431000</v>
      </c>
      <c r="T478">
        <v>395100</v>
      </c>
    </row>
    <row r="479" spans="18:20">
      <c r="R479" s="9">
        <v>46135</v>
      </c>
      <c r="S479">
        <v>430500</v>
      </c>
      <c r="T479">
        <v>394600</v>
      </c>
    </row>
    <row r="480" spans="18:20">
      <c r="R480" s="9">
        <v>46136</v>
      </c>
      <c r="S480">
        <v>430500</v>
      </c>
      <c r="T480">
        <v>394600</v>
      </c>
    </row>
    <row r="481" spans="18:20">
      <c r="R481" s="9">
        <v>46137</v>
      </c>
      <c r="S481">
        <v>430000</v>
      </c>
      <c r="T481">
        <v>394200</v>
      </c>
    </row>
    <row r="482" spans="18:20">
      <c r="R482" s="9">
        <v>46138</v>
      </c>
      <c r="S482">
        <v>430000</v>
      </c>
      <c r="T482">
        <v>394200</v>
      </c>
    </row>
    <row r="483" spans="18:20">
      <c r="R483" s="9">
        <v>46139</v>
      </c>
      <c r="S483">
        <v>430000</v>
      </c>
      <c r="T483">
        <v>394200</v>
      </c>
    </row>
    <row r="484" spans="18:20">
      <c r="R484" s="9">
        <v>46140</v>
      </c>
      <c r="S484">
        <v>431000</v>
      </c>
      <c r="T484">
        <v>395100</v>
      </c>
    </row>
    <row r="485" spans="18:20">
      <c r="R485" s="9">
        <v>46141</v>
      </c>
      <c r="S485">
        <v>431500</v>
      </c>
      <c r="T485">
        <v>395500</v>
      </c>
    </row>
    <row r="486" spans="18:20">
      <c r="R486" s="9">
        <v>46142</v>
      </c>
      <c r="S486">
        <v>431500</v>
      </c>
      <c r="T486">
        <v>395500</v>
      </c>
    </row>
    <row r="487" spans="18:20">
      <c r="R487" s="9">
        <v>46143</v>
      </c>
      <c r="S487">
        <v>431500</v>
      </c>
      <c r="T487">
        <v>395500</v>
      </c>
    </row>
    <row r="488" spans="18:20">
      <c r="R488" s="9">
        <v>46144</v>
      </c>
      <c r="S488">
        <v>432000</v>
      </c>
      <c r="T488">
        <v>396000</v>
      </c>
    </row>
    <row r="489" spans="18:20">
      <c r="R489" s="9">
        <v>46145</v>
      </c>
      <c r="S489">
        <v>432000</v>
      </c>
      <c r="T489">
        <v>396000</v>
      </c>
    </row>
    <row r="490" spans="18:20">
      <c r="R490" s="9">
        <v>46146</v>
      </c>
      <c r="S490">
        <v>431500</v>
      </c>
      <c r="T490">
        <v>395500</v>
      </c>
    </row>
    <row r="491" spans="18:20">
      <c r="R491" s="9">
        <v>46147</v>
      </c>
      <c r="S491">
        <v>432000</v>
      </c>
      <c r="T491">
        <v>396000</v>
      </c>
    </row>
    <row r="492" spans="18:20">
      <c r="R492" s="9">
        <v>46148</v>
      </c>
      <c r="S492">
        <v>432000</v>
      </c>
      <c r="T492">
        <v>396000</v>
      </c>
    </row>
    <row r="493" spans="18:20">
      <c r="R493" s="9">
        <v>46149</v>
      </c>
      <c r="S493">
        <v>432000</v>
      </c>
      <c r="T493">
        <v>396000</v>
      </c>
    </row>
    <row r="494" spans="18:20">
      <c r="R494" s="9">
        <v>46150</v>
      </c>
      <c r="S494">
        <v>431500</v>
      </c>
      <c r="T494">
        <v>395500</v>
      </c>
    </row>
    <row r="495" spans="18:20">
      <c r="R495" s="9">
        <v>46151</v>
      </c>
      <c r="S495">
        <v>431000</v>
      </c>
      <c r="T495">
        <v>395100</v>
      </c>
    </row>
    <row r="496" spans="18:20">
      <c r="R496" s="9">
        <v>46152</v>
      </c>
      <c r="S496">
        <v>431000</v>
      </c>
      <c r="T496">
        <v>395100</v>
      </c>
    </row>
    <row r="497" spans="18:20">
      <c r="R497" s="9">
        <v>46153</v>
      </c>
      <c r="S497">
        <v>431000</v>
      </c>
      <c r="T497">
        <v>395100</v>
      </c>
    </row>
    <row r="498" spans="18:20">
      <c r="R498" s="9">
        <v>46154</v>
      </c>
      <c r="S498">
        <v>430000</v>
      </c>
      <c r="T498">
        <v>394200</v>
      </c>
    </row>
    <row r="499" spans="18:20">
      <c r="R499" s="9">
        <v>46155</v>
      </c>
      <c r="S499">
        <v>430000</v>
      </c>
      <c r="T499">
        <v>394200</v>
      </c>
    </row>
    <row r="500" spans="18:20">
      <c r="R500" s="9">
        <v>46156</v>
      </c>
      <c r="S500">
        <v>429000</v>
      </c>
      <c r="T500">
        <v>393200</v>
      </c>
    </row>
    <row r="501" spans="18:20">
      <c r="R501" s="9">
        <v>46157</v>
      </c>
      <c r="S501">
        <v>429000</v>
      </c>
      <c r="T501">
        <v>393200</v>
      </c>
    </row>
    <row r="502" spans="18:20">
      <c r="R502" s="9">
        <v>46158</v>
      </c>
      <c r="S502">
        <v>429500</v>
      </c>
      <c r="T502">
        <v>393700</v>
      </c>
    </row>
    <row r="503" spans="18:20">
      <c r="R503" s="9">
        <v>46159</v>
      </c>
      <c r="S503">
        <v>429500</v>
      </c>
      <c r="T503">
        <v>393700</v>
      </c>
    </row>
    <row r="504" spans="18:20">
      <c r="R504" s="9">
        <v>46160</v>
      </c>
      <c r="S504">
        <v>429000</v>
      </c>
      <c r="T504">
        <v>393200</v>
      </c>
    </row>
    <row r="505" spans="18:20">
      <c r="R505" s="9">
        <v>46161</v>
      </c>
      <c r="S505">
        <v>430000</v>
      </c>
      <c r="T505">
        <v>394200</v>
      </c>
    </row>
    <row r="506" spans="18:20">
      <c r="R506" s="9">
        <v>46162</v>
      </c>
      <c r="S506">
        <v>430000</v>
      </c>
      <c r="T506">
        <v>394200</v>
      </c>
    </row>
    <row r="507" spans="18:20">
      <c r="R507" s="9">
        <v>46163</v>
      </c>
      <c r="S507">
        <v>429000</v>
      </c>
      <c r="T507">
        <v>393200</v>
      </c>
    </row>
    <row r="508" spans="18:20">
      <c r="R508" s="9">
        <v>46164</v>
      </c>
      <c r="S508">
        <v>429500</v>
      </c>
      <c r="T508">
        <v>393700</v>
      </c>
    </row>
    <row r="509" spans="18:20">
      <c r="R509" s="9">
        <v>46165</v>
      </c>
      <c r="S509">
        <v>429000</v>
      </c>
      <c r="T509">
        <v>393200</v>
      </c>
    </row>
    <row r="510" spans="18:20">
      <c r="R510" s="9">
        <v>46166</v>
      </c>
      <c r="S510">
        <v>429000</v>
      </c>
      <c r="T510">
        <v>393200</v>
      </c>
    </row>
    <row r="511" spans="18:20">
      <c r="R511" s="9">
        <v>46167</v>
      </c>
      <c r="S511">
        <v>429500</v>
      </c>
      <c r="T511">
        <v>393700</v>
      </c>
    </row>
    <row r="512" spans="18:20">
      <c r="R512" s="9">
        <v>46168</v>
      </c>
      <c r="S512">
        <v>429000</v>
      </c>
      <c r="T512">
        <v>393200</v>
      </c>
    </row>
    <row r="513" spans="18:20">
      <c r="R513" s="9">
        <v>46169</v>
      </c>
      <c r="S513">
        <v>429500</v>
      </c>
      <c r="T513">
        <v>393700</v>
      </c>
    </row>
    <row r="514" spans="18:20">
      <c r="R514" s="9">
        <v>46170</v>
      </c>
      <c r="S514">
        <v>430000</v>
      </c>
      <c r="T514">
        <v>394200</v>
      </c>
    </row>
    <row r="515" spans="18:20">
      <c r="R515" s="9">
        <v>46171</v>
      </c>
      <c r="S515">
        <v>429500</v>
      </c>
      <c r="T515">
        <v>393700</v>
      </c>
    </row>
    <row r="516" spans="18:20">
      <c r="R516" s="9">
        <v>46172</v>
      </c>
      <c r="S516">
        <v>429500</v>
      </c>
      <c r="T516">
        <v>393700</v>
      </c>
    </row>
    <row r="517" spans="18:20">
      <c r="R517" s="9">
        <v>46173</v>
      </c>
      <c r="S517">
        <v>429500</v>
      </c>
      <c r="T517">
        <v>393700</v>
      </c>
    </row>
    <row r="518" spans="18:20">
      <c r="R518" s="9">
        <v>46174</v>
      </c>
      <c r="S518">
        <v>430000</v>
      </c>
      <c r="T518">
        <v>394200</v>
      </c>
    </row>
    <row r="519" spans="18:20">
      <c r="R519" s="9">
        <v>46175</v>
      </c>
      <c r="S519">
        <v>465000</v>
      </c>
      <c r="T519">
        <v>426361</v>
      </c>
    </row>
    <row r="520" spans="18:20">
      <c r="R520" s="9">
        <v>46176</v>
      </c>
      <c r="S520">
        <v>461500</v>
      </c>
      <c r="T520">
        <v>423151</v>
      </c>
    </row>
    <row r="521" spans="18:20">
      <c r="R521" s="9">
        <v>46177</v>
      </c>
      <c r="S521">
        <v>461500</v>
      </c>
      <c r="T521">
        <v>423151</v>
      </c>
    </row>
    <row r="522" spans="18:20">
      <c r="R522" s="9">
        <v>46178</v>
      </c>
      <c r="S522">
        <v>461500</v>
      </c>
      <c r="T522">
        <v>423151</v>
      </c>
    </row>
    <row r="523" spans="18:20">
      <c r="R523" s="9">
        <v>46179</v>
      </c>
      <c r="S523">
        <v>461500</v>
      </c>
      <c r="T523">
        <v>423151</v>
      </c>
    </row>
    <row r="524" spans="18:20">
      <c r="R524" s="9">
        <v>46180</v>
      </c>
      <c r="S524">
        <v>461500</v>
      </c>
      <c r="T524">
        <v>423151</v>
      </c>
    </row>
    <row r="525" spans="18:20">
      <c r="R525" s="9">
        <v>46181</v>
      </c>
      <c r="S525">
        <v>452000</v>
      </c>
      <c r="T525">
        <v>414440</v>
      </c>
    </row>
    <row r="526" spans="18:20">
      <c r="R526" s="9">
        <v>46182</v>
      </c>
      <c r="S526">
        <v>449484</v>
      </c>
      <c r="T526">
        <v>412032</v>
      </c>
    </row>
    <row r="527" spans="18:20">
      <c r="R527" s="9">
        <v>46183</v>
      </c>
      <c r="S527">
        <v>444042</v>
      </c>
      <c r="T527">
        <v>407000</v>
      </c>
    </row>
    <row r="528" spans="18:20">
      <c r="R528" s="9">
        <v>46184</v>
      </c>
      <c r="S528">
        <v>432000</v>
      </c>
      <c r="T528">
        <v>396000</v>
      </c>
    </row>
    <row r="529" spans="18:20">
      <c r="R529" s="9">
        <v>46185</v>
      </c>
      <c r="S529">
        <v>425800</v>
      </c>
      <c r="T529">
        <v>390417</v>
      </c>
    </row>
    <row r="530" spans="18:20">
      <c r="R530" s="9">
        <v>46186</v>
      </c>
      <c r="S530">
        <v>432500</v>
      </c>
      <c r="T530">
        <v>396500</v>
      </c>
    </row>
    <row r="531" spans="18:20">
      <c r="R531" s="9">
        <v>46187</v>
      </c>
      <c r="S531">
        <v>440000</v>
      </c>
      <c r="T531">
        <v>403437</v>
      </c>
    </row>
    <row r="532" spans="18:20">
      <c r="R532" s="9">
        <v>46188</v>
      </c>
      <c r="S532">
        <v>433000</v>
      </c>
      <c r="T532">
        <v>396900</v>
      </c>
    </row>
    <row r="533" spans="18:20">
      <c r="R533" s="9">
        <v>46189</v>
      </c>
      <c r="S533">
        <v>433000</v>
      </c>
      <c r="T533">
        <v>396900</v>
      </c>
    </row>
    <row r="534" spans="18:20">
      <c r="R534" s="9">
        <v>46190</v>
      </c>
      <c r="S534">
        <v>433000</v>
      </c>
      <c r="T534">
        <v>396900</v>
      </c>
    </row>
    <row r="535" spans="18:20">
      <c r="R535" s="9">
        <v>46191</v>
      </c>
      <c r="S535">
        <v>433500</v>
      </c>
      <c r="T535">
        <v>397400</v>
      </c>
    </row>
    <row r="536" spans="18:20">
      <c r="R536" s="9">
        <v>46192</v>
      </c>
      <c r="S536">
        <v>452000</v>
      </c>
      <c r="T536">
        <v>414440</v>
      </c>
    </row>
    <row r="537" spans="18:20">
      <c r="R537" s="9">
        <v>46193</v>
      </c>
      <c r="S537">
        <v>434000</v>
      </c>
      <c r="T537">
        <v>397800</v>
      </c>
    </row>
    <row r="538" spans="18:20">
      <c r="R538" s="9">
        <v>46194</v>
      </c>
      <c r="S538">
        <v>434000</v>
      </c>
      <c r="T538">
        <v>397800</v>
      </c>
    </row>
    <row r="539" spans="18:20">
      <c r="R539" s="9">
        <v>46195</v>
      </c>
      <c r="S539">
        <v>433500</v>
      </c>
      <c r="T539">
        <v>397400</v>
      </c>
    </row>
    <row r="540" spans="18:20">
      <c r="R540" s="9">
        <v>46196</v>
      </c>
      <c r="S540">
        <v>434000</v>
      </c>
      <c r="T540">
        <v>397800</v>
      </c>
    </row>
    <row r="541" spans="18:20">
      <c r="R541" s="9">
        <v>46197</v>
      </c>
      <c r="S541">
        <v>434000</v>
      </c>
      <c r="T541">
        <v>397800</v>
      </c>
    </row>
    <row r="542" spans="18:20">
      <c r="R542" s="9">
        <v>46198</v>
      </c>
      <c r="S542">
        <v>434500</v>
      </c>
      <c r="T542">
        <v>398394</v>
      </c>
    </row>
    <row r="543" spans="18:20">
      <c r="R543" s="9">
        <v>46199</v>
      </c>
      <c r="S543">
        <v>434500</v>
      </c>
      <c r="T543">
        <v>398394</v>
      </c>
    </row>
    <row r="544" spans="18:20">
      <c r="R544" s="9">
        <v>46200</v>
      </c>
      <c r="S544">
        <v>434500</v>
      </c>
      <c r="T544">
        <v>398292</v>
      </c>
    </row>
    <row r="545" spans="18:20">
      <c r="R545" s="9">
        <v>46201</v>
      </c>
      <c r="S545">
        <v>434500</v>
      </c>
      <c r="T545">
        <v>398292</v>
      </c>
    </row>
    <row r="546" spans="18:20">
      <c r="R546" s="9">
        <v>46202</v>
      </c>
      <c r="S546">
        <v>431500</v>
      </c>
      <c r="T546">
        <v>395542</v>
      </c>
    </row>
    <row r="547" spans="18:20">
      <c r="R547" s="9">
        <v>46203</v>
      </c>
      <c r="S547">
        <v>431500</v>
      </c>
      <c r="T547">
        <v>395542</v>
      </c>
    </row>
    <row r="548" spans="18:20">
      <c r="R548" s="9">
        <v>46204</v>
      </c>
      <c r="S548">
        <v>431600</v>
      </c>
      <c r="T548">
        <v>395633</v>
      </c>
    </row>
    <row r="549" spans="18:20">
      <c r="R549" s="9">
        <v>46205</v>
      </c>
      <c r="S549">
        <v>437000</v>
      </c>
      <c r="T549">
        <v>400583</v>
      </c>
    </row>
    <row r="550" spans="18:20">
      <c r="R550" s="9">
        <v>46206</v>
      </c>
      <c r="S550">
        <v>441000</v>
      </c>
      <c r="T550">
        <v>404250</v>
      </c>
    </row>
    <row r="551" spans="18:20">
      <c r="R551" s="9">
        <v>46207</v>
      </c>
      <c r="S551">
        <v>442900</v>
      </c>
      <c r="T551">
        <v>405992</v>
      </c>
    </row>
    <row r="552" spans="18:20">
      <c r="R552" s="9">
        <v>46208</v>
      </c>
      <c r="S552">
        <v>442900</v>
      </c>
      <c r="T552">
        <v>405992</v>
      </c>
    </row>
    <row r="553" spans="18:20">
      <c r="R553" s="9">
        <v>46209</v>
      </c>
      <c r="S553">
        <v>440800</v>
      </c>
      <c r="T553">
        <v>404067</v>
      </c>
    </row>
    <row r="554" spans="18:20">
      <c r="R554" s="9">
        <v>46210</v>
      </c>
      <c r="S554">
        <v>439800</v>
      </c>
      <c r="T554">
        <v>403150</v>
      </c>
    </row>
    <row r="555" spans="18:20">
      <c r="R555" s="9">
        <v>46211</v>
      </c>
      <c r="S555">
        <v>431300</v>
      </c>
      <c r="T555">
        <v>395358</v>
      </c>
    </row>
    <row r="556" spans="18:20">
      <c r="R556" s="9">
        <v>46212</v>
      </c>
      <c r="S556">
        <v>435000</v>
      </c>
      <c r="T556">
        <v>398750</v>
      </c>
    </row>
    <row r="557" spans="18:20">
      <c r="R557" s="9">
        <v>46213</v>
      </c>
      <c r="S557">
        <v>433200</v>
      </c>
      <c r="T557">
        <v>397100</v>
      </c>
    </row>
    <row r="558" spans="18:20">
      <c r="R558" s="9">
        <v>46214</v>
      </c>
      <c r="S558">
        <v>433500</v>
      </c>
      <c r="T558">
        <v>397375</v>
      </c>
    </row>
    <row r="559" spans="18:20">
      <c r="R559" s="9">
        <v>46215</v>
      </c>
      <c r="S559">
        <v>433500</v>
      </c>
      <c r="T559">
        <v>397375</v>
      </c>
    </row>
    <row r="560" spans="18:20">
      <c r="R560" s="9">
        <v>46216</v>
      </c>
      <c r="S560">
        <v>428500</v>
      </c>
      <c r="T560">
        <v>392792</v>
      </c>
    </row>
    <row r="561" spans="18:20">
      <c r="R561" s="9">
        <v>46217</v>
      </c>
      <c r="S561">
        <v>430600</v>
      </c>
      <c r="T561">
        <v>394717</v>
      </c>
    </row>
    <row r="562" spans="18:20">
      <c r="R562" s="9">
        <v>46218</v>
      </c>
      <c r="S562">
        <v>428000</v>
      </c>
      <c r="T562">
        <v>392333</v>
      </c>
    </row>
    <row r="563" spans="18:20">
      <c r="R563" s="9">
        <v>46219</v>
      </c>
      <c r="S563">
        <v>426000</v>
      </c>
      <c r="T563">
        <v>390500</v>
      </c>
    </row>
    <row r="564" spans="18:20">
      <c r="R564" s="9">
        <v>46220</v>
      </c>
      <c r="S564">
        <v>424500</v>
      </c>
      <c r="T564">
        <v>389125</v>
      </c>
    </row>
    <row r="565" spans="18:20">
      <c r="R565" s="9">
        <v>46221</v>
      </c>
      <c r="S565">
        <v>424200</v>
      </c>
      <c r="T565">
        <v>388850</v>
      </c>
    </row>
    <row r="566" spans="18:20">
      <c r="R566" s="9">
        <v>46222</v>
      </c>
      <c r="S566">
        <v>424200</v>
      </c>
      <c r="T566">
        <v>388850</v>
      </c>
    </row>
    <row r="567" spans="18:20">
      <c r="R567" s="9">
        <v>46223</v>
      </c>
      <c r="S567">
        <v>424500</v>
      </c>
      <c r="T567">
        <v>389125</v>
      </c>
    </row>
    <row r="568" spans="18:20">
      <c r="R568" s="9">
        <v>46224</v>
      </c>
      <c r="S568">
        <v>427000</v>
      </c>
      <c r="T568">
        <v>391417</v>
      </c>
    </row>
    <row r="569" spans="18:20">
      <c r="R569" s="9">
        <v>46225</v>
      </c>
      <c r="S569">
        <v>432000</v>
      </c>
      <c r="T569">
        <v>396000</v>
      </c>
    </row>
    <row r="570" spans="18:20">
      <c r="R570" s="9">
        <v>46226</v>
      </c>
      <c r="S570">
        <v>430500</v>
      </c>
      <c r="T570">
        <v>394625</v>
      </c>
    </row>
    <row r="571" spans="18:20">
      <c r="R571" s="9">
        <v>46227</v>
      </c>
      <c r="S571">
        <v>429500</v>
      </c>
      <c r="T571">
        <v>393708</v>
      </c>
    </row>
    <row r="572" spans="18:20">
      <c r="R572" s="9">
        <v>46228</v>
      </c>
      <c r="S572">
        <v>430200</v>
      </c>
      <c r="T572">
        <v>394350</v>
      </c>
    </row>
    <row r="573" spans="18:20">
      <c r="R573" s="9">
        <v>46229</v>
      </c>
      <c r="S573">
        <v>430200</v>
      </c>
      <c r="T573">
        <v>394350</v>
      </c>
    </row>
    <row r="574" spans="18:20">
      <c r="R574" s="9">
        <v>46230</v>
      </c>
      <c r="S574">
        <v>432500</v>
      </c>
      <c r="T574">
        <v>396458</v>
      </c>
    </row>
    <row r="575" spans="18:20">
      <c r="R575" s="9">
        <v>46231</v>
      </c>
      <c r="S575">
        <v>429400</v>
      </c>
      <c r="T575">
        <v>393617</v>
      </c>
    </row>
    <row r="576" spans="18:20">
      <c r="R576" s="9">
        <v>46232</v>
      </c>
      <c r="S576">
        <v>429000</v>
      </c>
      <c r="T576">
        <v>393250</v>
      </c>
    </row>
    <row r="577" spans="18:20">
      <c r="R577" s="9">
        <v>46233</v>
      </c>
      <c r="S577">
        <v>429700</v>
      </c>
      <c r="T577">
        <v>393892</v>
      </c>
    </row>
    <row r="578" spans="18:20">
      <c r="R578" s="9">
        <v>46234</v>
      </c>
      <c r="S578">
        <v>428500</v>
      </c>
      <c r="T578">
        <v>392792</v>
      </c>
    </row>
    <row r="579" spans="18:20">
      <c r="R579" s="9">
        <v>46235</v>
      </c>
      <c r="S579">
        <v>428600</v>
      </c>
      <c r="T579">
        <v>392883</v>
      </c>
    </row>
    <row r="580" spans="18:20">
      <c r="R580" s="9">
        <v>46236</v>
      </c>
      <c r="S580">
        <v>428600</v>
      </c>
      <c r="T580">
        <v>392883</v>
      </c>
    </row>
    <row r="581" spans="18:20">
      <c r="R581" s="9">
        <v>46237</v>
      </c>
      <c r="S581">
        <v>428300</v>
      </c>
      <c r="T581">
        <v>392608</v>
      </c>
    </row>
    <row r="582" spans="18:20">
      <c r="R582" s="9">
        <v>46238</v>
      </c>
      <c r="S582">
        <v>430500</v>
      </c>
      <c r="T582">
        <v>394625</v>
      </c>
    </row>
    <row r="583" spans="18:20">
      <c r="R583" s="9">
        <v>46239</v>
      </c>
      <c r="S583">
        <v>433200</v>
      </c>
      <c r="T583">
        <v>397100</v>
      </c>
    </row>
    <row r="584" spans="18:20">
      <c r="R584" s="9">
        <v>46240</v>
      </c>
      <c r="S584">
        <v>437000</v>
      </c>
      <c r="T584">
        <v>400583</v>
      </c>
    </row>
    <row r="585" spans="18:20">
      <c r="R585" s="9">
        <v>46241</v>
      </c>
      <c r="S585">
        <v>437000</v>
      </c>
      <c r="T585">
        <v>400583</v>
      </c>
    </row>
    <row r="586" spans="18:20">
      <c r="R586" s="9">
        <v>46242</v>
      </c>
      <c r="S586">
        <v>449500</v>
      </c>
      <c r="T586">
        <v>412042</v>
      </c>
    </row>
    <row r="587" spans="18:20">
      <c r="R587" s="9">
        <v>46243</v>
      </c>
      <c r="S587">
        <v>449500</v>
      </c>
      <c r="T587">
        <v>412042</v>
      </c>
    </row>
    <row r="588" spans="18:20">
      <c r="R588" s="9">
        <v>46244</v>
      </c>
      <c r="S588">
        <v>447500</v>
      </c>
      <c r="T588">
        <v>410208</v>
      </c>
    </row>
    <row r="589" spans="18:20">
      <c r="R589" s="9">
        <v>46245</v>
      </c>
      <c r="S589">
        <v>453300</v>
      </c>
      <c r="T589">
        <v>415525</v>
      </c>
    </row>
    <row r="590" spans="18:20">
      <c r="R590" s="9">
        <v>46246</v>
      </c>
      <c r="S590">
        <v>455000</v>
      </c>
      <c r="T590">
        <v>417083</v>
      </c>
    </row>
    <row r="591" spans="18:20">
      <c r="R591" s="9">
        <v>46247</v>
      </c>
      <c r="S591">
        <v>454000</v>
      </c>
      <c r="T591">
        <v>416167</v>
      </c>
    </row>
    <row r="592" spans="18:20">
      <c r="R592" s="9">
        <v>46248</v>
      </c>
      <c r="S592">
        <v>454000</v>
      </c>
      <c r="T592">
        <v>416167</v>
      </c>
    </row>
    <row r="593" spans="18:20">
      <c r="R593" s="9">
        <v>46249</v>
      </c>
      <c r="S593">
        <v>453700</v>
      </c>
      <c r="T593">
        <v>415892</v>
      </c>
    </row>
    <row r="594" spans="18:20">
      <c r="R594" s="9">
        <v>46250</v>
      </c>
      <c r="S594">
        <v>453700</v>
      </c>
      <c r="T594">
        <v>415892</v>
      </c>
    </row>
    <row r="595" spans="18:20">
      <c r="R595" s="9">
        <v>46251</v>
      </c>
      <c r="S595">
        <v>453700</v>
      </c>
      <c r="T595">
        <v>415892</v>
      </c>
    </row>
    <row r="596" spans="18:20">
      <c r="R596" s="9">
        <v>46252</v>
      </c>
      <c r="S596">
        <v>455800</v>
      </c>
      <c r="T596">
        <v>417817</v>
      </c>
    </row>
    <row r="597" spans="18:20">
      <c r="R597" s="9">
        <v>46253</v>
      </c>
      <c r="S597">
        <v>461500</v>
      </c>
      <c r="T597">
        <v>423042</v>
      </c>
    </row>
    <row r="598" spans="18:20">
      <c r="R598" s="9">
        <v>46254</v>
      </c>
      <c r="S598">
        <v>462000</v>
      </c>
      <c r="T598">
        <v>423500</v>
      </c>
    </row>
    <row r="599" spans="18:20">
      <c r="R599" s="9">
        <v>46255</v>
      </c>
      <c r="S599">
        <v>473000</v>
      </c>
      <c r="T599">
        <v>433583</v>
      </c>
    </row>
    <row r="600" spans="18:20">
      <c r="R600" s="9">
        <v>46256</v>
      </c>
      <c r="S600">
        <v>481500</v>
      </c>
      <c r="T600">
        <v>441375</v>
      </c>
    </row>
    <row r="601" spans="18:20">
      <c r="R601" s="9">
        <v>46257</v>
      </c>
      <c r="S601">
        <v>481500</v>
      </c>
      <c r="T601">
        <v>441375</v>
      </c>
    </row>
    <row r="602" spans="18:20">
      <c r="R602" s="9">
        <v>46258</v>
      </c>
      <c r="S602">
        <v>484000</v>
      </c>
      <c r="T602">
        <v>443667</v>
      </c>
    </row>
    <row r="603" spans="18:20">
      <c r="R603" s="9">
        <v>46259</v>
      </c>
      <c r="S603">
        <v>484000</v>
      </c>
      <c r="T603">
        <v>443667</v>
      </c>
    </row>
    <row r="604" spans="18:20">
      <c r="R604" s="9">
        <v>46260</v>
      </c>
      <c r="S604">
        <v>484000</v>
      </c>
      <c r="T604">
        <v>443667</v>
      </c>
    </row>
    <row r="605" spans="18:20">
      <c r="R605" s="9">
        <v>46261</v>
      </c>
      <c r="S605">
        <v>478000</v>
      </c>
      <c r="T605">
        <v>438167</v>
      </c>
    </row>
    <row r="606" spans="18:20">
      <c r="R606" s="9">
        <v>46262</v>
      </c>
      <c r="S606">
        <v>477700</v>
      </c>
      <c r="T606">
        <v>437892</v>
      </c>
    </row>
    <row r="607" spans="18:20">
      <c r="R607" s="9">
        <v>46263</v>
      </c>
      <c r="S607">
        <v>465000</v>
      </c>
      <c r="T607">
        <v>426250</v>
      </c>
    </row>
    <row r="608" spans="18:20">
      <c r="R608" s="9">
        <v>46264</v>
      </c>
      <c r="S608">
        <v>465000</v>
      </c>
      <c r="T608">
        <v>426250</v>
      </c>
    </row>
    <row r="609" spans="18:20">
      <c r="R609" s="9">
        <v>46265</v>
      </c>
      <c r="S609">
        <v>455500</v>
      </c>
      <c r="T609">
        <v>417542</v>
      </c>
    </row>
    <row r="610" spans="18:20">
      <c r="R610" s="9">
        <v>46266</v>
      </c>
      <c r="S610">
        <v>450000</v>
      </c>
      <c r="T610">
        <v>412500</v>
      </c>
    </row>
  </sheetData>
  <mergeCells count="2">
    <mergeCell ref="A1:H1"/>
    <mergeCell ref="A12:H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0"/>
  <sheetViews>
    <sheetView workbookViewId="0"/>
  </sheetViews>
  <sheetFormatPr defaultRowHeight="13.8"/>
  <cols>
    <col min="1" max="1" width="13" customWidth="1"/>
    <col min="2" max="2" width="12" customWidth="1"/>
    <col min="3" max="3" width="14" customWidth="1"/>
    <col min="4" max="4" width="18" customWidth="1"/>
    <col min="5" max="5" width="20" customWidth="1"/>
    <col min="6" max="6" width="19" customWidth="1"/>
    <col min="7" max="7" width="12" customWidth="1"/>
    <col min="8" max="8" width="15" customWidth="1"/>
  </cols>
  <sheetData>
    <row r="1" spans="1:8" ht="27.6">
      <c r="A1" s="1" t="s">
        <v>28</v>
      </c>
      <c r="B1" s="1" t="s">
        <v>47</v>
      </c>
      <c r="C1" s="1" t="s">
        <v>56</v>
      </c>
      <c r="D1" s="1" t="s">
        <v>48</v>
      </c>
      <c r="E1" s="1" t="s">
        <v>57</v>
      </c>
      <c r="F1" s="1" t="s">
        <v>58</v>
      </c>
      <c r="G1" s="1" t="s">
        <v>21</v>
      </c>
      <c r="H1" s="1" t="s">
        <v>59</v>
      </c>
    </row>
    <row r="2" spans="1:8">
      <c r="A2" s="9">
        <v>45658</v>
      </c>
      <c r="B2" t="s">
        <v>49</v>
      </c>
      <c r="C2">
        <v>3</v>
      </c>
      <c r="D2" s="10">
        <v>292000</v>
      </c>
      <c r="E2" s="10">
        <f>0</f>
        <v>0</v>
      </c>
      <c r="F2" s="11">
        <f>0</f>
        <v>0</v>
      </c>
      <c r="G2">
        <v>1</v>
      </c>
      <c r="H2" s="9">
        <v>45658</v>
      </c>
    </row>
    <row r="3" spans="1:8">
      <c r="A3" s="9">
        <v>45659</v>
      </c>
      <c r="B3" t="s">
        <v>50</v>
      </c>
      <c r="C3">
        <v>4</v>
      </c>
      <c r="D3" s="10">
        <v>290000</v>
      </c>
      <c r="E3" s="10">
        <f t="shared" ref="E3:E66" si="0">D3-D2</f>
        <v>-2000</v>
      </c>
      <c r="F3" s="11">
        <f t="shared" ref="F3:F66" si="1">IFERROR(E3/D2,0)</f>
        <v>-6.8493150684931503E-3</v>
      </c>
      <c r="G3">
        <v>1</v>
      </c>
      <c r="H3" s="9">
        <v>45659</v>
      </c>
    </row>
    <row r="4" spans="1:8">
      <c r="A4" s="9">
        <v>45660</v>
      </c>
      <c r="B4" t="s">
        <v>51</v>
      </c>
      <c r="C4">
        <v>5</v>
      </c>
      <c r="D4" s="10">
        <v>290500</v>
      </c>
      <c r="E4" s="10">
        <f t="shared" si="0"/>
        <v>500</v>
      </c>
      <c r="F4" s="11">
        <f t="shared" si="1"/>
        <v>1.7241379310344827E-3</v>
      </c>
      <c r="G4">
        <v>1</v>
      </c>
      <c r="H4" s="9">
        <v>45660</v>
      </c>
    </row>
    <row r="5" spans="1:8">
      <c r="A5" s="9">
        <v>45661</v>
      </c>
      <c r="B5" t="s">
        <v>52</v>
      </c>
      <c r="C5">
        <v>6</v>
      </c>
      <c r="D5" s="10">
        <v>290500</v>
      </c>
      <c r="E5" s="10">
        <f t="shared" si="0"/>
        <v>0</v>
      </c>
      <c r="F5" s="11">
        <f t="shared" si="1"/>
        <v>0</v>
      </c>
      <c r="G5">
        <v>1</v>
      </c>
      <c r="H5" s="9">
        <v>45661</v>
      </c>
    </row>
    <row r="6" spans="1:8">
      <c r="A6" s="9">
        <v>45662</v>
      </c>
      <c r="B6" t="s">
        <v>55</v>
      </c>
      <c r="C6">
        <v>7</v>
      </c>
      <c r="D6" s="10">
        <v>290500</v>
      </c>
      <c r="E6" s="10">
        <f t="shared" si="0"/>
        <v>0</v>
      </c>
      <c r="F6" s="11">
        <f t="shared" si="1"/>
        <v>0</v>
      </c>
      <c r="G6">
        <v>0</v>
      </c>
      <c r="H6" s="9">
        <v>45661</v>
      </c>
    </row>
    <row r="7" spans="1:8">
      <c r="A7" s="9">
        <v>45663</v>
      </c>
      <c r="B7" t="s">
        <v>53</v>
      </c>
      <c r="C7">
        <v>1</v>
      </c>
      <c r="D7" s="10">
        <v>291000</v>
      </c>
      <c r="E7" s="10">
        <f t="shared" si="0"/>
        <v>500</v>
      </c>
      <c r="F7" s="11">
        <f t="shared" si="1"/>
        <v>1.7211703958691911E-3</v>
      </c>
      <c r="G7">
        <v>1</v>
      </c>
      <c r="H7" s="9">
        <v>45663</v>
      </c>
    </row>
    <row r="8" spans="1:8">
      <c r="A8" s="9">
        <v>45664</v>
      </c>
      <c r="B8" t="s">
        <v>54</v>
      </c>
      <c r="C8">
        <v>2</v>
      </c>
      <c r="D8" s="10">
        <v>291500</v>
      </c>
      <c r="E8" s="10">
        <f t="shared" si="0"/>
        <v>500</v>
      </c>
      <c r="F8" s="11">
        <f t="shared" si="1"/>
        <v>1.718213058419244E-3</v>
      </c>
      <c r="G8">
        <v>1</v>
      </c>
      <c r="H8" s="9">
        <v>45664</v>
      </c>
    </row>
    <row r="9" spans="1:8">
      <c r="A9" s="9">
        <v>45665</v>
      </c>
      <c r="B9" t="s">
        <v>49</v>
      </c>
      <c r="C9">
        <v>3</v>
      </c>
      <c r="D9" s="10">
        <v>291500</v>
      </c>
      <c r="E9" s="10">
        <f t="shared" si="0"/>
        <v>0</v>
      </c>
      <c r="F9" s="11">
        <f t="shared" si="1"/>
        <v>0</v>
      </c>
      <c r="G9">
        <v>1</v>
      </c>
      <c r="H9" s="9">
        <v>45665</v>
      </c>
    </row>
    <row r="10" spans="1:8">
      <c r="A10" s="9">
        <v>45666</v>
      </c>
      <c r="B10" t="s">
        <v>50</v>
      </c>
      <c r="C10">
        <v>4</v>
      </c>
      <c r="D10" s="10">
        <v>291500</v>
      </c>
      <c r="E10" s="10">
        <f t="shared" si="0"/>
        <v>0</v>
      </c>
      <c r="F10" s="11">
        <f t="shared" si="1"/>
        <v>0</v>
      </c>
      <c r="G10">
        <v>1</v>
      </c>
      <c r="H10" s="9">
        <v>45666</v>
      </c>
    </row>
    <row r="11" spans="1:8">
      <c r="A11" s="9">
        <v>45667</v>
      </c>
      <c r="B11" t="s">
        <v>51</v>
      </c>
      <c r="C11">
        <v>5</v>
      </c>
      <c r="D11" s="10">
        <v>291000</v>
      </c>
      <c r="E11" s="10">
        <f t="shared" si="0"/>
        <v>-500</v>
      </c>
      <c r="F11" s="11">
        <f t="shared" si="1"/>
        <v>-1.7152658662092624E-3</v>
      </c>
      <c r="G11">
        <v>1</v>
      </c>
      <c r="H11" s="9">
        <v>45667</v>
      </c>
    </row>
    <row r="12" spans="1:8">
      <c r="A12" s="9">
        <v>45668</v>
      </c>
      <c r="B12" t="s">
        <v>52</v>
      </c>
      <c r="C12">
        <v>6</v>
      </c>
      <c r="D12" s="10">
        <v>290500</v>
      </c>
      <c r="E12" s="10">
        <f t="shared" si="0"/>
        <v>-500</v>
      </c>
      <c r="F12" s="11">
        <f t="shared" si="1"/>
        <v>-1.718213058419244E-3</v>
      </c>
      <c r="G12">
        <v>1</v>
      </c>
      <c r="H12" s="9">
        <v>45668</v>
      </c>
    </row>
    <row r="13" spans="1:8">
      <c r="A13" s="9">
        <v>45669</v>
      </c>
      <c r="B13" t="s">
        <v>55</v>
      </c>
      <c r="C13">
        <v>7</v>
      </c>
      <c r="D13" s="10">
        <v>290500</v>
      </c>
      <c r="E13" s="10">
        <f t="shared" si="0"/>
        <v>0</v>
      </c>
      <c r="F13" s="11">
        <f t="shared" si="1"/>
        <v>0</v>
      </c>
      <c r="G13">
        <v>0</v>
      </c>
      <c r="H13" s="9">
        <v>45668</v>
      </c>
    </row>
    <row r="14" spans="1:8">
      <c r="A14" s="9">
        <v>45670</v>
      </c>
      <c r="B14" t="s">
        <v>53</v>
      </c>
      <c r="C14">
        <v>1</v>
      </c>
      <c r="D14" s="10">
        <v>290000</v>
      </c>
      <c r="E14" s="10">
        <f t="shared" si="0"/>
        <v>-500</v>
      </c>
      <c r="F14" s="11">
        <f t="shared" si="1"/>
        <v>-1.7211703958691911E-3</v>
      </c>
      <c r="G14">
        <v>1</v>
      </c>
      <c r="H14" s="9">
        <v>45670</v>
      </c>
    </row>
    <row r="15" spans="1:8">
      <c r="A15" s="9">
        <v>45671</v>
      </c>
      <c r="B15" t="s">
        <v>54</v>
      </c>
      <c r="C15">
        <v>2</v>
      </c>
      <c r="D15" s="10">
        <v>290500</v>
      </c>
      <c r="E15" s="10">
        <f t="shared" si="0"/>
        <v>500</v>
      </c>
      <c r="F15" s="11">
        <f t="shared" si="1"/>
        <v>1.7241379310344827E-3</v>
      </c>
      <c r="G15">
        <v>1</v>
      </c>
      <c r="H15" s="9">
        <v>45671</v>
      </c>
    </row>
    <row r="16" spans="1:8">
      <c r="A16" s="9">
        <v>45672</v>
      </c>
      <c r="B16" t="s">
        <v>49</v>
      </c>
      <c r="C16">
        <v>3</v>
      </c>
      <c r="D16" s="10">
        <v>296000</v>
      </c>
      <c r="E16" s="10">
        <f t="shared" si="0"/>
        <v>5500</v>
      </c>
      <c r="F16" s="11">
        <f t="shared" si="1"/>
        <v>1.8932874354561102E-2</v>
      </c>
      <c r="G16">
        <v>1</v>
      </c>
      <c r="H16" s="9">
        <v>45672</v>
      </c>
    </row>
    <row r="17" spans="1:8">
      <c r="A17" s="9">
        <v>45673</v>
      </c>
      <c r="B17" t="s">
        <v>50</v>
      </c>
      <c r="C17">
        <v>4</v>
      </c>
      <c r="D17" s="10">
        <v>291000</v>
      </c>
      <c r="E17" s="10">
        <f t="shared" si="0"/>
        <v>-5000</v>
      </c>
      <c r="F17" s="11">
        <f t="shared" si="1"/>
        <v>-1.6891891891891893E-2</v>
      </c>
      <c r="G17">
        <v>1</v>
      </c>
      <c r="H17" s="9">
        <v>45673</v>
      </c>
    </row>
    <row r="18" spans="1:8">
      <c r="A18" s="9">
        <v>45674</v>
      </c>
      <c r="B18" t="s">
        <v>51</v>
      </c>
      <c r="C18">
        <v>5</v>
      </c>
      <c r="D18" s="10">
        <v>291000</v>
      </c>
      <c r="E18" s="10">
        <f t="shared" si="0"/>
        <v>0</v>
      </c>
      <c r="F18" s="11">
        <f t="shared" si="1"/>
        <v>0</v>
      </c>
      <c r="G18">
        <v>1</v>
      </c>
      <c r="H18" s="9">
        <v>45674</v>
      </c>
    </row>
    <row r="19" spans="1:8">
      <c r="A19" s="9">
        <v>45675</v>
      </c>
      <c r="B19" t="s">
        <v>52</v>
      </c>
      <c r="C19">
        <v>6</v>
      </c>
      <c r="D19" s="10">
        <v>290500</v>
      </c>
      <c r="E19" s="10">
        <f t="shared" si="0"/>
        <v>-500</v>
      </c>
      <c r="F19" s="11">
        <f t="shared" si="1"/>
        <v>-1.718213058419244E-3</v>
      </c>
      <c r="G19">
        <v>1</v>
      </c>
      <c r="H19" s="9">
        <v>45675</v>
      </c>
    </row>
    <row r="20" spans="1:8">
      <c r="A20" s="9">
        <v>45676</v>
      </c>
      <c r="B20" t="s">
        <v>55</v>
      </c>
      <c r="C20">
        <v>7</v>
      </c>
      <c r="D20" s="10">
        <v>290500</v>
      </c>
      <c r="E20" s="10">
        <f t="shared" si="0"/>
        <v>0</v>
      </c>
      <c r="F20" s="11">
        <f t="shared" si="1"/>
        <v>0</v>
      </c>
      <c r="G20">
        <v>0</v>
      </c>
      <c r="H20" s="9">
        <v>45675</v>
      </c>
    </row>
    <row r="21" spans="1:8">
      <c r="A21" s="9">
        <v>45677</v>
      </c>
      <c r="B21" t="s">
        <v>53</v>
      </c>
      <c r="C21">
        <v>1</v>
      </c>
      <c r="D21" s="10">
        <v>290500</v>
      </c>
      <c r="E21" s="10">
        <f t="shared" si="0"/>
        <v>0</v>
      </c>
      <c r="F21" s="11">
        <f t="shared" si="1"/>
        <v>0</v>
      </c>
      <c r="G21">
        <v>1</v>
      </c>
      <c r="H21" s="9">
        <v>45677</v>
      </c>
    </row>
    <row r="22" spans="1:8">
      <c r="A22" s="9">
        <v>45678</v>
      </c>
      <c r="B22" t="s">
        <v>54</v>
      </c>
      <c r="C22">
        <v>2</v>
      </c>
      <c r="D22" s="10">
        <v>290500</v>
      </c>
      <c r="E22" s="10">
        <f t="shared" si="0"/>
        <v>0</v>
      </c>
      <c r="F22" s="11">
        <f t="shared" si="1"/>
        <v>0</v>
      </c>
      <c r="G22">
        <v>1</v>
      </c>
      <c r="H22" s="9">
        <v>45678</v>
      </c>
    </row>
    <row r="23" spans="1:8">
      <c r="A23" s="9">
        <v>45679</v>
      </c>
      <c r="B23" t="s">
        <v>49</v>
      </c>
      <c r="C23">
        <v>3</v>
      </c>
      <c r="D23" s="10">
        <v>290500</v>
      </c>
      <c r="E23" s="10">
        <f t="shared" si="0"/>
        <v>0</v>
      </c>
      <c r="F23" s="11">
        <f t="shared" si="1"/>
        <v>0</v>
      </c>
      <c r="G23">
        <v>1</v>
      </c>
      <c r="H23" s="9">
        <v>45679</v>
      </c>
    </row>
    <row r="24" spans="1:8">
      <c r="A24" s="9">
        <v>45680</v>
      </c>
      <c r="B24" t="s">
        <v>50</v>
      </c>
      <c r="C24">
        <v>4</v>
      </c>
      <c r="D24" s="10">
        <v>290500</v>
      </c>
      <c r="E24" s="10">
        <f t="shared" si="0"/>
        <v>0</v>
      </c>
      <c r="F24" s="11">
        <f t="shared" si="1"/>
        <v>0</v>
      </c>
      <c r="G24">
        <v>1</v>
      </c>
      <c r="H24" s="9">
        <v>45680</v>
      </c>
    </row>
    <row r="25" spans="1:8">
      <c r="A25" s="9">
        <v>45681</v>
      </c>
      <c r="B25" t="s">
        <v>51</v>
      </c>
      <c r="C25">
        <v>5</v>
      </c>
      <c r="D25" s="10">
        <v>290000</v>
      </c>
      <c r="E25" s="10">
        <f t="shared" si="0"/>
        <v>-500</v>
      </c>
      <c r="F25" s="11">
        <f t="shared" si="1"/>
        <v>-1.7211703958691911E-3</v>
      </c>
      <c r="G25">
        <v>1</v>
      </c>
      <c r="H25" s="9">
        <v>45681</v>
      </c>
    </row>
    <row r="26" spans="1:8">
      <c r="A26" s="9">
        <v>45682</v>
      </c>
      <c r="B26" t="s">
        <v>52</v>
      </c>
      <c r="C26">
        <v>6</v>
      </c>
      <c r="D26" s="10">
        <v>290000</v>
      </c>
      <c r="E26" s="10">
        <f t="shared" si="0"/>
        <v>0</v>
      </c>
      <c r="F26" s="11">
        <f t="shared" si="1"/>
        <v>0</v>
      </c>
      <c r="G26">
        <v>1</v>
      </c>
      <c r="H26" s="9">
        <v>45682</v>
      </c>
    </row>
    <row r="27" spans="1:8">
      <c r="A27" s="9">
        <v>45683</v>
      </c>
      <c r="B27" t="s">
        <v>55</v>
      </c>
      <c r="C27">
        <v>7</v>
      </c>
      <c r="D27" s="10">
        <v>290000</v>
      </c>
      <c r="E27" s="10">
        <f t="shared" si="0"/>
        <v>0</v>
      </c>
      <c r="F27" s="11">
        <f t="shared" si="1"/>
        <v>0</v>
      </c>
      <c r="G27">
        <v>0</v>
      </c>
      <c r="H27" s="9">
        <v>45682</v>
      </c>
    </row>
    <row r="28" spans="1:8">
      <c r="A28" s="9">
        <v>45684</v>
      </c>
      <c r="B28" t="s">
        <v>53</v>
      </c>
      <c r="C28">
        <v>1</v>
      </c>
      <c r="D28" s="10">
        <v>290000</v>
      </c>
      <c r="E28" s="10">
        <f t="shared" si="0"/>
        <v>0</v>
      </c>
      <c r="F28" s="11">
        <f t="shared" si="1"/>
        <v>0</v>
      </c>
      <c r="G28">
        <v>1</v>
      </c>
      <c r="H28" s="9">
        <v>45684</v>
      </c>
    </row>
    <row r="29" spans="1:8">
      <c r="A29" s="9">
        <v>45685</v>
      </c>
      <c r="B29" t="s">
        <v>54</v>
      </c>
      <c r="C29">
        <v>2</v>
      </c>
      <c r="D29" s="10">
        <v>290000</v>
      </c>
      <c r="E29" s="10">
        <f t="shared" si="0"/>
        <v>0</v>
      </c>
      <c r="F29" s="11">
        <f t="shared" si="1"/>
        <v>0</v>
      </c>
      <c r="G29">
        <v>1</v>
      </c>
      <c r="H29" s="9">
        <v>45685</v>
      </c>
    </row>
    <row r="30" spans="1:8">
      <c r="A30" s="9">
        <v>45686</v>
      </c>
      <c r="B30" t="s">
        <v>49</v>
      </c>
      <c r="C30">
        <v>3</v>
      </c>
      <c r="D30" s="10">
        <v>290000</v>
      </c>
      <c r="E30" s="10">
        <f t="shared" si="0"/>
        <v>0</v>
      </c>
      <c r="F30" s="11">
        <f t="shared" si="1"/>
        <v>0</v>
      </c>
      <c r="G30">
        <v>1</v>
      </c>
      <c r="H30" s="9">
        <v>45686</v>
      </c>
    </row>
    <row r="31" spans="1:8">
      <c r="A31" s="9">
        <v>45687</v>
      </c>
      <c r="B31" t="s">
        <v>50</v>
      </c>
      <c r="C31">
        <v>4</v>
      </c>
      <c r="D31" s="10">
        <v>290500</v>
      </c>
      <c r="E31" s="10">
        <f t="shared" si="0"/>
        <v>500</v>
      </c>
      <c r="F31" s="11">
        <f t="shared" si="1"/>
        <v>1.7241379310344827E-3</v>
      </c>
      <c r="G31">
        <v>1</v>
      </c>
      <c r="H31" s="9">
        <v>45687</v>
      </c>
    </row>
    <row r="32" spans="1:8">
      <c r="A32" s="9">
        <v>45688</v>
      </c>
      <c r="B32" t="s">
        <v>51</v>
      </c>
      <c r="C32">
        <v>5</v>
      </c>
      <c r="D32" s="10">
        <v>291000</v>
      </c>
      <c r="E32" s="10">
        <f t="shared" si="0"/>
        <v>500</v>
      </c>
      <c r="F32" s="11">
        <f t="shared" si="1"/>
        <v>1.7211703958691911E-3</v>
      </c>
      <c r="G32">
        <v>1</v>
      </c>
      <c r="H32" s="9">
        <v>45688</v>
      </c>
    </row>
    <row r="33" spans="1:8">
      <c r="A33" s="9">
        <v>45689</v>
      </c>
      <c r="B33" t="s">
        <v>52</v>
      </c>
      <c r="C33">
        <v>6</v>
      </c>
      <c r="D33" s="10">
        <v>298500</v>
      </c>
      <c r="E33" s="10">
        <f t="shared" si="0"/>
        <v>7500</v>
      </c>
      <c r="F33" s="11">
        <f t="shared" si="1"/>
        <v>2.5773195876288658E-2</v>
      </c>
      <c r="G33">
        <v>1</v>
      </c>
      <c r="H33" s="9">
        <v>45689</v>
      </c>
    </row>
    <row r="34" spans="1:8">
      <c r="A34" s="9">
        <v>45690</v>
      </c>
      <c r="B34" t="s">
        <v>55</v>
      </c>
      <c r="C34">
        <v>7</v>
      </c>
      <c r="D34" s="10">
        <v>298500</v>
      </c>
      <c r="E34" s="10">
        <f t="shared" si="0"/>
        <v>0</v>
      </c>
      <c r="F34" s="11">
        <f t="shared" si="1"/>
        <v>0</v>
      </c>
      <c r="G34">
        <v>0</v>
      </c>
      <c r="H34" s="9">
        <v>45689</v>
      </c>
    </row>
    <row r="35" spans="1:8">
      <c r="A35" s="9">
        <v>45691</v>
      </c>
      <c r="B35" t="s">
        <v>53</v>
      </c>
      <c r="C35">
        <v>1</v>
      </c>
      <c r="D35" s="10">
        <v>292000</v>
      </c>
      <c r="E35" s="10">
        <f t="shared" si="0"/>
        <v>-6500</v>
      </c>
      <c r="F35" s="11">
        <f t="shared" si="1"/>
        <v>-2.1775544388609715E-2</v>
      </c>
      <c r="G35">
        <v>1</v>
      </c>
      <c r="H35" s="9">
        <v>45691</v>
      </c>
    </row>
    <row r="36" spans="1:8">
      <c r="A36" s="9">
        <v>45692</v>
      </c>
      <c r="B36" t="s">
        <v>54</v>
      </c>
      <c r="C36">
        <v>2</v>
      </c>
      <c r="D36" s="10">
        <v>292000</v>
      </c>
      <c r="E36" s="10">
        <f t="shared" si="0"/>
        <v>0</v>
      </c>
      <c r="F36" s="11">
        <f t="shared" si="1"/>
        <v>0</v>
      </c>
      <c r="G36">
        <v>1</v>
      </c>
      <c r="H36" s="9">
        <v>45692</v>
      </c>
    </row>
    <row r="37" spans="1:8">
      <c r="A37" s="9">
        <v>45693</v>
      </c>
      <c r="B37" t="s">
        <v>49</v>
      </c>
      <c r="C37">
        <v>3</v>
      </c>
      <c r="D37" s="10">
        <v>292500</v>
      </c>
      <c r="E37" s="10">
        <f t="shared" si="0"/>
        <v>500</v>
      </c>
      <c r="F37" s="11">
        <f t="shared" si="1"/>
        <v>1.7123287671232876E-3</v>
      </c>
      <c r="G37">
        <v>1</v>
      </c>
      <c r="H37" s="9">
        <v>45693</v>
      </c>
    </row>
    <row r="38" spans="1:8">
      <c r="A38" s="9">
        <v>45694</v>
      </c>
      <c r="B38" t="s">
        <v>50</v>
      </c>
      <c r="C38">
        <v>4</v>
      </c>
      <c r="D38" s="10">
        <v>292500</v>
      </c>
      <c r="E38" s="10">
        <f t="shared" si="0"/>
        <v>0</v>
      </c>
      <c r="F38" s="11">
        <f t="shared" si="1"/>
        <v>0</v>
      </c>
      <c r="G38">
        <v>1</v>
      </c>
      <c r="H38" s="9">
        <v>45694</v>
      </c>
    </row>
    <row r="39" spans="1:8">
      <c r="A39" s="9">
        <v>45695</v>
      </c>
      <c r="B39" t="s">
        <v>51</v>
      </c>
      <c r="C39">
        <v>5</v>
      </c>
      <c r="D39" s="10">
        <v>293000</v>
      </c>
      <c r="E39" s="10">
        <f t="shared" si="0"/>
        <v>500</v>
      </c>
      <c r="F39" s="11">
        <f t="shared" si="1"/>
        <v>1.7094017094017094E-3</v>
      </c>
      <c r="G39">
        <v>1</v>
      </c>
      <c r="H39" s="9">
        <v>45695</v>
      </c>
    </row>
    <row r="40" spans="1:8">
      <c r="A40" s="9">
        <v>45696</v>
      </c>
      <c r="B40" t="s">
        <v>52</v>
      </c>
      <c r="C40">
        <v>6</v>
      </c>
      <c r="D40" s="10">
        <v>293500</v>
      </c>
      <c r="E40" s="10">
        <f t="shared" si="0"/>
        <v>500</v>
      </c>
      <c r="F40" s="11">
        <f t="shared" si="1"/>
        <v>1.7064846416382253E-3</v>
      </c>
      <c r="G40">
        <v>1</v>
      </c>
      <c r="H40" s="9">
        <v>45696</v>
      </c>
    </row>
    <row r="41" spans="1:8">
      <c r="A41" s="9">
        <v>45697</v>
      </c>
      <c r="B41" t="s">
        <v>55</v>
      </c>
      <c r="C41">
        <v>7</v>
      </c>
      <c r="D41" s="10">
        <v>293500</v>
      </c>
      <c r="E41" s="10">
        <f t="shared" si="0"/>
        <v>0</v>
      </c>
      <c r="F41" s="11">
        <f t="shared" si="1"/>
        <v>0</v>
      </c>
      <c r="G41">
        <v>0</v>
      </c>
      <c r="H41" s="9">
        <v>45696</v>
      </c>
    </row>
    <row r="42" spans="1:8">
      <c r="A42" s="9">
        <v>45698</v>
      </c>
      <c r="B42" t="s">
        <v>53</v>
      </c>
      <c r="C42">
        <v>1</v>
      </c>
      <c r="D42" s="10">
        <v>294500</v>
      </c>
      <c r="E42" s="10">
        <f t="shared" si="0"/>
        <v>1000</v>
      </c>
      <c r="F42" s="11">
        <f t="shared" si="1"/>
        <v>3.4071550255536627E-3</v>
      </c>
      <c r="G42">
        <v>1</v>
      </c>
      <c r="H42" s="9">
        <v>45698</v>
      </c>
    </row>
    <row r="43" spans="1:8">
      <c r="A43" s="9">
        <v>45699</v>
      </c>
      <c r="B43" t="s">
        <v>54</v>
      </c>
      <c r="C43">
        <v>2</v>
      </c>
      <c r="D43" s="10">
        <v>295500</v>
      </c>
      <c r="E43" s="10">
        <f t="shared" si="0"/>
        <v>1000</v>
      </c>
      <c r="F43" s="11">
        <f t="shared" si="1"/>
        <v>3.3955857385398981E-3</v>
      </c>
      <c r="G43">
        <v>1</v>
      </c>
      <c r="H43" s="9">
        <v>45699</v>
      </c>
    </row>
    <row r="44" spans="1:8">
      <c r="A44" s="9">
        <v>45700</v>
      </c>
      <c r="B44" t="s">
        <v>49</v>
      </c>
      <c r="C44">
        <v>3</v>
      </c>
      <c r="D44" s="10">
        <v>295500</v>
      </c>
      <c r="E44" s="10">
        <f t="shared" si="0"/>
        <v>0</v>
      </c>
      <c r="F44" s="11">
        <f t="shared" si="1"/>
        <v>0</v>
      </c>
      <c r="G44">
        <v>1</v>
      </c>
      <c r="H44" s="9">
        <v>45700</v>
      </c>
    </row>
    <row r="45" spans="1:8">
      <c r="A45" s="9">
        <v>45701</v>
      </c>
      <c r="B45" t="s">
        <v>50</v>
      </c>
      <c r="C45">
        <v>4</v>
      </c>
      <c r="D45" s="10">
        <v>296000</v>
      </c>
      <c r="E45" s="10">
        <f t="shared" si="0"/>
        <v>500</v>
      </c>
      <c r="F45" s="11">
        <f t="shared" si="1"/>
        <v>1.6920473773265651E-3</v>
      </c>
      <c r="G45">
        <v>1</v>
      </c>
      <c r="H45" s="9">
        <v>45701</v>
      </c>
    </row>
    <row r="46" spans="1:8">
      <c r="A46" s="9">
        <v>45702</v>
      </c>
      <c r="B46" t="s">
        <v>51</v>
      </c>
      <c r="C46">
        <v>5</v>
      </c>
      <c r="D46" s="10">
        <v>296000</v>
      </c>
      <c r="E46" s="10">
        <f t="shared" si="0"/>
        <v>0</v>
      </c>
      <c r="F46" s="11">
        <f t="shared" si="1"/>
        <v>0</v>
      </c>
      <c r="G46">
        <v>1</v>
      </c>
      <c r="H46" s="9">
        <v>45702</v>
      </c>
    </row>
    <row r="47" spans="1:8">
      <c r="A47" s="9">
        <v>45703</v>
      </c>
      <c r="B47" t="s">
        <v>52</v>
      </c>
      <c r="C47">
        <v>6</v>
      </c>
      <c r="D47" s="10">
        <v>304000</v>
      </c>
      <c r="E47" s="10">
        <f t="shared" si="0"/>
        <v>8000</v>
      </c>
      <c r="F47" s="11">
        <f t="shared" si="1"/>
        <v>2.7027027027027029E-2</v>
      </c>
      <c r="G47">
        <v>1</v>
      </c>
      <c r="H47" s="9">
        <v>45703</v>
      </c>
    </row>
    <row r="48" spans="1:8">
      <c r="A48" s="9">
        <v>45704</v>
      </c>
      <c r="B48" t="s">
        <v>55</v>
      </c>
      <c r="C48">
        <v>7</v>
      </c>
      <c r="D48" s="10">
        <v>304000</v>
      </c>
      <c r="E48" s="10">
        <f t="shared" si="0"/>
        <v>0</v>
      </c>
      <c r="F48" s="11">
        <f t="shared" si="1"/>
        <v>0</v>
      </c>
      <c r="G48">
        <v>0</v>
      </c>
      <c r="H48" s="9">
        <v>45703</v>
      </c>
    </row>
    <row r="49" spans="1:8">
      <c r="A49" s="9">
        <v>45705</v>
      </c>
      <c r="B49" t="s">
        <v>53</v>
      </c>
      <c r="C49">
        <v>1</v>
      </c>
      <c r="D49" s="10">
        <v>297000</v>
      </c>
      <c r="E49" s="10">
        <f t="shared" si="0"/>
        <v>-7000</v>
      </c>
      <c r="F49" s="11">
        <f t="shared" si="1"/>
        <v>-2.3026315789473683E-2</v>
      </c>
      <c r="G49">
        <v>1</v>
      </c>
      <c r="H49" s="9">
        <v>45705</v>
      </c>
    </row>
    <row r="50" spans="1:8">
      <c r="A50" s="9">
        <v>45706</v>
      </c>
      <c r="B50" t="s">
        <v>54</v>
      </c>
      <c r="C50">
        <v>2</v>
      </c>
      <c r="D50" s="10">
        <v>297500</v>
      </c>
      <c r="E50" s="10">
        <f t="shared" si="0"/>
        <v>500</v>
      </c>
      <c r="F50" s="11">
        <f t="shared" si="1"/>
        <v>1.6835016835016834E-3</v>
      </c>
      <c r="G50">
        <v>1</v>
      </c>
      <c r="H50" s="9">
        <v>45706</v>
      </c>
    </row>
    <row r="51" spans="1:8">
      <c r="A51" s="9">
        <v>45707</v>
      </c>
      <c r="B51" t="s">
        <v>49</v>
      </c>
      <c r="C51">
        <v>3</v>
      </c>
      <c r="D51" s="10">
        <v>297500</v>
      </c>
      <c r="E51" s="10">
        <f t="shared" si="0"/>
        <v>0</v>
      </c>
      <c r="F51" s="11">
        <f t="shared" si="1"/>
        <v>0</v>
      </c>
      <c r="G51">
        <v>1</v>
      </c>
      <c r="H51" s="9">
        <v>45707</v>
      </c>
    </row>
    <row r="52" spans="1:8">
      <c r="A52" s="9">
        <v>45708</v>
      </c>
      <c r="B52" t="s">
        <v>50</v>
      </c>
      <c r="C52">
        <v>4</v>
      </c>
      <c r="D52" s="10">
        <v>297500</v>
      </c>
      <c r="E52" s="10">
        <f t="shared" si="0"/>
        <v>0</v>
      </c>
      <c r="F52" s="11">
        <f t="shared" si="1"/>
        <v>0</v>
      </c>
      <c r="G52">
        <v>1</v>
      </c>
      <c r="H52" s="9">
        <v>45708</v>
      </c>
    </row>
    <row r="53" spans="1:8">
      <c r="A53" s="9">
        <v>45709</v>
      </c>
      <c r="B53" t="s">
        <v>51</v>
      </c>
      <c r="C53">
        <v>5</v>
      </c>
      <c r="D53" s="10">
        <v>298000</v>
      </c>
      <c r="E53" s="10">
        <f t="shared" si="0"/>
        <v>500</v>
      </c>
      <c r="F53" s="11">
        <f t="shared" si="1"/>
        <v>1.6806722689075631E-3</v>
      </c>
      <c r="G53">
        <v>1</v>
      </c>
      <c r="H53" s="9">
        <v>45709</v>
      </c>
    </row>
    <row r="54" spans="1:8">
      <c r="A54" s="9">
        <v>45710</v>
      </c>
      <c r="B54" t="s">
        <v>52</v>
      </c>
      <c r="C54">
        <v>6</v>
      </c>
      <c r="D54" s="10">
        <v>298000</v>
      </c>
      <c r="E54" s="10">
        <f t="shared" si="0"/>
        <v>0</v>
      </c>
      <c r="F54" s="11">
        <f t="shared" si="1"/>
        <v>0</v>
      </c>
      <c r="G54">
        <v>1</v>
      </c>
      <c r="H54" s="9">
        <v>45710</v>
      </c>
    </row>
    <row r="55" spans="1:8">
      <c r="A55" s="9">
        <v>45711</v>
      </c>
      <c r="B55" t="s">
        <v>55</v>
      </c>
      <c r="C55">
        <v>7</v>
      </c>
      <c r="D55" s="10">
        <v>298000</v>
      </c>
      <c r="E55" s="10">
        <f t="shared" si="0"/>
        <v>0</v>
      </c>
      <c r="F55" s="11">
        <f t="shared" si="1"/>
        <v>0</v>
      </c>
      <c r="G55">
        <v>0</v>
      </c>
      <c r="H55" s="9">
        <v>45710</v>
      </c>
    </row>
    <row r="56" spans="1:8">
      <c r="A56" s="9">
        <v>45712</v>
      </c>
      <c r="B56" t="s">
        <v>53</v>
      </c>
      <c r="C56">
        <v>1</v>
      </c>
      <c r="D56" s="10">
        <v>298000</v>
      </c>
      <c r="E56" s="10">
        <f t="shared" si="0"/>
        <v>0</v>
      </c>
      <c r="F56" s="11">
        <f t="shared" si="1"/>
        <v>0</v>
      </c>
      <c r="G56">
        <v>1</v>
      </c>
      <c r="H56" s="9">
        <v>45712</v>
      </c>
    </row>
    <row r="57" spans="1:8">
      <c r="A57" s="9">
        <v>45713</v>
      </c>
      <c r="B57" t="s">
        <v>54</v>
      </c>
      <c r="C57">
        <v>2</v>
      </c>
      <c r="D57" s="10">
        <v>298500</v>
      </c>
      <c r="E57" s="10">
        <f t="shared" si="0"/>
        <v>500</v>
      </c>
      <c r="F57" s="11">
        <f t="shared" si="1"/>
        <v>1.6778523489932886E-3</v>
      </c>
      <c r="G57">
        <v>1</v>
      </c>
      <c r="H57" s="9">
        <v>45713</v>
      </c>
    </row>
    <row r="58" spans="1:8">
      <c r="A58" s="9">
        <v>45714</v>
      </c>
      <c r="B58" t="s">
        <v>49</v>
      </c>
      <c r="C58">
        <v>3</v>
      </c>
      <c r="D58" s="10">
        <v>299000</v>
      </c>
      <c r="E58" s="10">
        <f t="shared" si="0"/>
        <v>500</v>
      </c>
      <c r="F58" s="11">
        <f t="shared" si="1"/>
        <v>1.6750418760469012E-3</v>
      </c>
      <c r="G58">
        <v>1</v>
      </c>
      <c r="H58" s="9">
        <v>45714</v>
      </c>
    </row>
    <row r="59" spans="1:8">
      <c r="A59" s="9">
        <v>45715</v>
      </c>
      <c r="B59" t="s">
        <v>50</v>
      </c>
      <c r="C59">
        <v>4</v>
      </c>
      <c r="D59" s="10">
        <v>299000</v>
      </c>
      <c r="E59" s="10">
        <f t="shared" si="0"/>
        <v>0</v>
      </c>
      <c r="F59" s="11">
        <f t="shared" si="1"/>
        <v>0</v>
      </c>
      <c r="G59">
        <v>1</v>
      </c>
      <c r="H59" s="9">
        <v>45715</v>
      </c>
    </row>
    <row r="60" spans="1:8">
      <c r="A60" s="9">
        <v>45716</v>
      </c>
      <c r="B60" t="s">
        <v>51</v>
      </c>
      <c r="C60">
        <v>5</v>
      </c>
      <c r="D60" s="10">
        <v>299500</v>
      </c>
      <c r="E60" s="10">
        <f t="shared" si="0"/>
        <v>500</v>
      </c>
      <c r="F60" s="11">
        <f t="shared" si="1"/>
        <v>1.6722408026755853E-3</v>
      </c>
      <c r="G60">
        <v>1</v>
      </c>
      <c r="H60" s="9">
        <v>45716</v>
      </c>
    </row>
    <row r="61" spans="1:8">
      <c r="A61" s="9">
        <v>45717</v>
      </c>
      <c r="B61" t="s">
        <v>52</v>
      </c>
      <c r="C61">
        <v>6</v>
      </c>
      <c r="D61" s="10">
        <v>310000</v>
      </c>
      <c r="E61" s="10">
        <f t="shared" si="0"/>
        <v>10500</v>
      </c>
      <c r="F61" s="11">
        <f t="shared" si="1"/>
        <v>3.5058430717863104E-2</v>
      </c>
      <c r="G61">
        <v>1</v>
      </c>
      <c r="H61" s="9">
        <v>45717</v>
      </c>
    </row>
    <row r="62" spans="1:8">
      <c r="A62" s="9">
        <v>45718</v>
      </c>
      <c r="B62" t="s">
        <v>55</v>
      </c>
      <c r="C62">
        <v>7</v>
      </c>
      <c r="D62" s="10">
        <v>310000</v>
      </c>
      <c r="E62" s="10">
        <f t="shared" si="0"/>
        <v>0</v>
      </c>
      <c r="F62" s="11">
        <f t="shared" si="1"/>
        <v>0</v>
      </c>
      <c r="G62">
        <v>0</v>
      </c>
      <c r="H62" s="9">
        <v>45717</v>
      </c>
    </row>
    <row r="63" spans="1:8">
      <c r="A63" s="9">
        <v>45719</v>
      </c>
      <c r="B63" t="s">
        <v>53</v>
      </c>
      <c r="C63">
        <v>1</v>
      </c>
      <c r="D63" s="10">
        <v>309500</v>
      </c>
      <c r="E63" s="10">
        <f t="shared" si="0"/>
        <v>-500</v>
      </c>
      <c r="F63" s="11">
        <f t="shared" si="1"/>
        <v>-1.6129032258064516E-3</v>
      </c>
      <c r="G63">
        <v>1</v>
      </c>
      <c r="H63" s="9">
        <v>45719</v>
      </c>
    </row>
    <row r="64" spans="1:8">
      <c r="A64" s="9">
        <v>45720</v>
      </c>
      <c r="B64" t="s">
        <v>54</v>
      </c>
      <c r="C64">
        <v>2</v>
      </c>
      <c r="D64" s="10">
        <v>310000</v>
      </c>
      <c r="E64" s="10">
        <f t="shared" si="0"/>
        <v>500</v>
      </c>
      <c r="F64" s="11">
        <f t="shared" si="1"/>
        <v>1.6155088852988692E-3</v>
      </c>
      <c r="G64">
        <v>1</v>
      </c>
      <c r="H64" s="9">
        <v>45720</v>
      </c>
    </row>
    <row r="65" spans="1:8">
      <c r="A65" s="9">
        <v>45721</v>
      </c>
      <c r="B65" t="s">
        <v>49</v>
      </c>
      <c r="C65">
        <v>3</v>
      </c>
      <c r="D65" s="10">
        <v>311000</v>
      </c>
      <c r="E65" s="10">
        <f t="shared" si="0"/>
        <v>1000</v>
      </c>
      <c r="F65" s="11">
        <f t="shared" si="1"/>
        <v>3.2258064516129032E-3</v>
      </c>
      <c r="G65">
        <v>1</v>
      </c>
      <c r="H65" s="9">
        <v>45721</v>
      </c>
    </row>
    <row r="66" spans="1:8">
      <c r="A66" s="9">
        <v>45722</v>
      </c>
      <c r="B66" t="s">
        <v>50</v>
      </c>
      <c r="C66">
        <v>4</v>
      </c>
      <c r="D66" s="10">
        <v>311500</v>
      </c>
      <c r="E66" s="10">
        <f t="shared" si="0"/>
        <v>500</v>
      </c>
      <c r="F66" s="11">
        <f t="shared" si="1"/>
        <v>1.6077170418006431E-3</v>
      </c>
      <c r="G66">
        <v>1</v>
      </c>
      <c r="H66" s="9">
        <v>45722</v>
      </c>
    </row>
    <row r="67" spans="1:8">
      <c r="A67" s="9">
        <v>45723</v>
      </c>
      <c r="B67" t="s">
        <v>51</v>
      </c>
      <c r="C67">
        <v>5</v>
      </c>
      <c r="D67" s="10">
        <v>312000</v>
      </c>
      <c r="E67" s="10">
        <f t="shared" ref="E67:E130" si="2">D67-D66</f>
        <v>500</v>
      </c>
      <c r="F67" s="11">
        <f t="shared" ref="F67:F130" si="3">IFERROR(E67/D66,0)</f>
        <v>1.6051364365971107E-3</v>
      </c>
      <c r="G67">
        <v>1</v>
      </c>
      <c r="H67" s="9">
        <v>45723</v>
      </c>
    </row>
    <row r="68" spans="1:8">
      <c r="A68" s="9">
        <v>45724</v>
      </c>
      <c r="B68" t="s">
        <v>52</v>
      </c>
      <c r="C68">
        <v>6</v>
      </c>
      <c r="D68" s="10">
        <v>312500</v>
      </c>
      <c r="E68" s="10">
        <f t="shared" si="2"/>
        <v>500</v>
      </c>
      <c r="F68" s="11">
        <f t="shared" si="3"/>
        <v>1.6025641025641025E-3</v>
      </c>
      <c r="G68">
        <v>1</v>
      </c>
      <c r="H68" s="9">
        <v>45724</v>
      </c>
    </row>
    <row r="69" spans="1:8">
      <c r="A69" s="9">
        <v>45725</v>
      </c>
      <c r="B69" t="s">
        <v>55</v>
      </c>
      <c r="C69">
        <v>7</v>
      </c>
      <c r="D69" s="10">
        <v>312500</v>
      </c>
      <c r="E69" s="10">
        <f t="shared" si="2"/>
        <v>0</v>
      </c>
      <c r="F69" s="11">
        <f t="shared" si="3"/>
        <v>0</v>
      </c>
      <c r="G69">
        <v>0</v>
      </c>
      <c r="H69" s="9">
        <v>45724</v>
      </c>
    </row>
    <row r="70" spans="1:8">
      <c r="A70" s="9">
        <v>45726</v>
      </c>
      <c r="B70" t="s">
        <v>53</v>
      </c>
      <c r="C70">
        <v>1</v>
      </c>
      <c r="D70" s="10">
        <v>312500</v>
      </c>
      <c r="E70" s="10">
        <f t="shared" si="2"/>
        <v>0</v>
      </c>
      <c r="F70" s="11">
        <f t="shared" si="3"/>
        <v>0</v>
      </c>
      <c r="G70">
        <v>1</v>
      </c>
      <c r="H70" s="9">
        <v>45726</v>
      </c>
    </row>
    <row r="71" spans="1:8">
      <c r="A71" s="9">
        <v>45727</v>
      </c>
      <c r="B71" t="s">
        <v>54</v>
      </c>
      <c r="C71">
        <v>2</v>
      </c>
      <c r="D71" s="10">
        <v>312500</v>
      </c>
      <c r="E71" s="10">
        <f t="shared" si="2"/>
        <v>0</v>
      </c>
      <c r="F71" s="11">
        <f t="shared" si="3"/>
        <v>0</v>
      </c>
      <c r="G71">
        <v>1</v>
      </c>
      <c r="H71" s="9">
        <v>45727</v>
      </c>
    </row>
    <row r="72" spans="1:8">
      <c r="A72" s="9">
        <v>45728</v>
      </c>
      <c r="B72" t="s">
        <v>49</v>
      </c>
      <c r="C72">
        <v>3</v>
      </c>
      <c r="D72" s="10">
        <v>313500</v>
      </c>
      <c r="E72" s="10">
        <f t="shared" si="2"/>
        <v>1000</v>
      </c>
      <c r="F72" s="11">
        <f t="shared" si="3"/>
        <v>3.2000000000000002E-3</v>
      </c>
      <c r="G72">
        <v>1</v>
      </c>
      <c r="H72" s="9">
        <v>45728</v>
      </c>
    </row>
    <row r="73" spans="1:8">
      <c r="A73" s="9">
        <v>45729</v>
      </c>
      <c r="B73" t="s">
        <v>50</v>
      </c>
      <c r="C73">
        <v>4</v>
      </c>
      <c r="D73" s="10">
        <v>314000</v>
      </c>
      <c r="E73" s="10">
        <f t="shared" si="2"/>
        <v>500</v>
      </c>
      <c r="F73" s="11">
        <f t="shared" si="3"/>
        <v>1.594896331738437E-3</v>
      </c>
      <c r="G73">
        <v>1</v>
      </c>
      <c r="H73" s="9">
        <v>45729</v>
      </c>
    </row>
    <row r="74" spans="1:8">
      <c r="A74" s="9">
        <v>45730</v>
      </c>
      <c r="B74" t="s">
        <v>51</v>
      </c>
      <c r="C74">
        <v>5</v>
      </c>
      <c r="D74" s="10">
        <v>314000</v>
      </c>
      <c r="E74" s="10">
        <f t="shared" si="2"/>
        <v>0</v>
      </c>
      <c r="F74" s="11">
        <f t="shared" si="3"/>
        <v>0</v>
      </c>
      <c r="G74">
        <v>1</v>
      </c>
      <c r="H74" s="9">
        <v>45730</v>
      </c>
    </row>
    <row r="75" spans="1:8">
      <c r="A75" s="9">
        <v>45731</v>
      </c>
      <c r="B75" t="s">
        <v>52</v>
      </c>
      <c r="C75">
        <v>6</v>
      </c>
      <c r="D75" s="10">
        <v>319000</v>
      </c>
      <c r="E75" s="10">
        <f t="shared" si="2"/>
        <v>5000</v>
      </c>
      <c r="F75" s="11">
        <f t="shared" si="3"/>
        <v>1.5923566878980892E-2</v>
      </c>
      <c r="G75">
        <v>1</v>
      </c>
      <c r="H75" s="9">
        <v>45731</v>
      </c>
    </row>
    <row r="76" spans="1:8">
      <c r="A76" s="9">
        <v>45732</v>
      </c>
      <c r="B76" t="s">
        <v>55</v>
      </c>
      <c r="C76">
        <v>7</v>
      </c>
      <c r="D76" s="10">
        <v>319000</v>
      </c>
      <c r="E76" s="10">
        <f t="shared" si="2"/>
        <v>0</v>
      </c>
      <c r="F76" s="11">
        <f t="shared" si="3"/>
        <v>0</v>
      </c>
      <c r="G76">
        <v>0</v>
      </c>
      <c r="H76" s="9">
        <v>45731</v>
      </c>
    </row>
    <row r="77" spans="1:8">
      <c r="A77" s="9">
        <v>45733</v>
      </c>
      <c r="B77" t="s">
        <v>53</v>
      </c>
      <c r="C77">
        <v>1</v>
      </c>
      <c r="D77" s="10">
        <v>314000</v>
      </c>
      <c r="E77" s="10">
        <f t="shared" si="2"/>
        <v>-5000</v>
      </c>
      <c r="F77" s="11">
        <f t="shared" si="3"/>
        <v>-1.5673981191222569E-2</v>
      </c>
      <c r="G77">
        <v>1</v>
      </c>
      <c r="H77" s="9">
        <v>45733</v>
      </c>
    </row>
    <row r="78" spans="1:8">
      <c r="A78" s="9">
        <v>45734</v>
      </c>
      <c r="B78" t="s">
        <v>54</v>
      </c>
      <c r="C78">
        <v>2</v>
      </c>
      <c r="D78" s="10">
        <v>315000</v>
      </c>
      <c r="E78" s="10">
        <f t="shared" si="2"/>
        <v>1000</v>
      </c>
      <c r="F78" s="11">
        <f t="shared" si="3"/>
        <v>3.1847133757961785E-3</v>
      </c>
      <c r="G78">
        <v>1</v>
      </c>
      <c r="H78" s="9">
        <v>45734</v>
      </c>
    </row>
    <row r="79" spans="1:8">
      <c r="A79" s="9">
        <v>45735</v>
      </c>
      <c r="B79" t="s">
        <v>49</v>
      </c>
      <c r="C79">
        <v>3</v>
      </c>
      <c r="D79" s="10">
        <v>314500</v>
      </c>
      <c r="E79" s="10">
        <f t="shared" si="2"/>
        <v>-500</v>
      </c>
      <c r="F79" s="11">
        <f t="shared" si="3"/>
        <v>-1.5873015873015873E-3</v>
      </c>
      <c r="G79">
        <v>1</v>
      </c>
      <c r="H79" s="9">
        <v>45735</v>
      </c>
    </row>
    <row r="80" spans="1:8">
      <c r="A80" s="9">
        <v>45736</v>
      </c>
      <c r="B80" t="s">
        <v>50</v>
      </c>
      <c r="C80">
        <v>4</v>
      </c>
      <c r="D80" s="10">
        <v>315000</v>
      </c>
      <c r="E80" s="10">
        <f t="shared" si="2"/>
        <v>500</v>
      </c>
      <c r="F80" s="11">
        <f t="shared" si="3"/>
        <v>1.589825119236884E-3</v>
      </c>
      <c r="G80">
        <v>1</v>
      </c>
      <c r="H80" s="9">
        <v>45736</v>
      </c>
    </row>
    <row r="81" spans="1:8">
      <c r="A81" s="9">
        <v>45737</v>
      </c>
      <c r="B81" t="s">
        <v>51</v>
      </c>
      <c r="C81">
        <v>5</v>
      </c>
      <c r="D81" s="10">
        <v>315500</v>
      </c>
      <c r="E81" s="10">
        <f t="shared" si="2"/>
        <v>500</v>
      </c>
      <c r="F81" s="11">
        <f t="shared" si="3"/>
        <v>1.5873015873015873E-3</v>
      </c>
      <c r="G81">
        <v>1</v>
      </c>
      <c r="H81" s="9">
        <v>45737</v>
      </c>
    </row>
    <row r="82" spans="1:8">
      <c r="A82" s="9">
        <v>45738</v>
      </c>
      <c r="B82" t="s">
        <v>52</v>
      </c>
      <c r="C82">
        <v>6</v>
      </c>
      <c r="D82" s="10">
        <v>316000</v>
      </c>
      <c r="E82" s="10">
        <f t="shared" si="2"/>
        <v>500</v>
      </c>
      <c r="F82" s="11">
        <f t="shared" si="3"/>
        <v>1.5847860538827259E-3</v>
      </c>
      <c r="G82">
        <v>1</v>
      </c>
      <c r="H82" s="9">
        <v>45738</v>
      </c>
    </row>
    <row r="83" spans="1:8">
      <c r="A83" s="9">
        <v>45739</v>
      </c>
      <c r="B83" t="s">
        <v>55</v>
      </c>
      <c r="C83">
        <v>7</v>
      </c>
      <c r="D83" s="10">
        <v>316000</v>
      </c>
      <c r="E83" s="10">
        <f t="shared" si="2"/>
        <v>0</v>
      </c>
      <c r="F83" s="11">
        <f t="shared" si="3"/>
        <v>0</v>
      </c>
      <c r="G83">
        <v>0</v>
      </c>
      <c r="H83" s="9">
        <v>45738</v>
      </c>
    </row>
    <row r="84" spans="1:8">
      <c r="A84" s="9">
        <v>45740</v>
      </c>
      <c r="B84" t="s">
        <v>53</v>
      </c>
      <c r="C84">
        <v>1</v>
      </c>
      <c r="D84" s="10">
        <v>315500</v>
      </c>
      <c r="E84" s="10">
        <f t="shared" si="2"/>
        <v>-500</v>
      </c>
      <c r="F84" s="11">
        <f t="shared" si="3"/>
        <v>-1.5822784810126582E-3</v>
      </c>
      <c r="G84">
        <v>1</v>
      </c>
      <c r="H84" s="9">
        <v>45740</v>
      </c>
    </row>
    <row r="85" spans="1:8">
      <c r="A85" s="9">
        <v>45741</v>
      </c>
      <c r="B85" t="s">
        <v>54</v>
      </c>
      <c r="C85">
        <v>2</v>
      </c>
      <c r="D85" s="10">
        <v>315500</v>
      </c>
      <c r="E85" s="10">
        <f t="shared" si="2"/>
        <v>0</v>
      </c>
      <c r="F85" s="11">
        <f t="shared" si="3"/>
        <v>0</v>
      </c>
      <c r="G85">
        <v>1</v>
      </c>
      <c r="H85" s="9">
        <v>45741</v>
      </c>
    </row>
    <row r="86" spans="1:8">
      <c r="A86" s="9">
        <v>45742</v>
      </c>
      <c r="B86" t="s">
        <v>49</v>
      </c>
      <c r="C86">
        <v>3</v>
      </c>
      <c r="D86" s="10">
        <v>316000</v>
      </c>
      <c r="E86" s="10">
        <f t="shared" si="2"/>
        <v>500</v>
      </c>
      <c r="F86" s="11">
        <f t="shared" si="3"/>
        <v>1.5847860538827259E-3</v>
      </c>
      <c r="G86">
        <v>1</v>
      </c>
      <c r="H86" s="9">
        <v>45742</v>
      </c>
    </row>
    <row r="87" spans="1:8">
      <c r="A87" s="9">
        <v>45743</v>
      </c>
      <c r="B87" t="s">
        <v>50</v>
      </c>
      <c r="C87">
        <v>4</v>
      </c>
      <c r="D87" s="10">
        <v>315500</v>
      </c>
      <c r="E87" s="10">
        <f t="shared" si="2"/>
        <v>-500</v>
      </c>
      <c r="F87" s="11">
        <f t="shared" si="3"/>
        <v>-1.5822784810126582E-3</v>
      </c>
      <c r="G87">
        <v>1</v>
      </c>
      <c r="H87" s="9">
        <v>45743</v>
      </c>
    </row>
    <row r="88" spans="1:8">
      <c r="A88" s="9">
        <v>45744</v>
      </c>
      <c r="B88" t="s">
        <v>51</v>
      </c>
      <c r="C88">
        <v>5</v>
      </c>
      <c r="D88" s="10">
        <v>315500</v>
      </c>
      <c r="E88" s="10">
        <f t="shared" si="2"/>
        <v>0</v>
      </c>
      <c r="F88" s="11">
        <f t="shared" si="3"/>
        <v>0</v>
      </c>
      <c r="G88">
        <v>1</v>
      </c>
      <c r="H88" s="9">
        <v>45744</v>
      </c>
    </row>
    <row r="89" spans="1:8">
      <c r="A89" s="9">
        <v>45745</v>
      </c>
      <c r="B89" t="s">
        <v>52</v>
      </c>
      <c r="C89">
        <v>6</v>
      </c>
      <c r="D89" s="10">
        <v>315500</v>
      </c>
      <c r="E89" s="10">
        <f t="shared" si="2"/>
        <v>0</v>
      </c>
      <c r="F89" s="11">
        <f t="shared" si="3"/>
        <v>0</v>
      </c>
      <c r="G89">
        <v>1</v>
      </c>
      <c r="H89" s="9">
        <v>45745</v>
      </c>
    </row>
    <row r="90" spans="1:8">
      <c r="A90" s="9">
        <v>45746</v>
      </c>
      <c r="B90" t="s">
        <v>55</v>
      </c>
      <c r="C90">
        <v>7</v>
      </c>
      <c r="D90" s="10">
        <v>315500</v>
      </c>
      <c r="E90" s="10">
        <f t="shared" si="2"/>
        <v>0</v>
      </c>
      <c r="F90" s="11">
        <f t="shared" si="3"/>
        <v>0</v>
      </c>
      <c r="G90">
        <v>0</v>
      </c>
      <c r="H90" s="9">
        <v>45745</v>
      </c>
    </row>
    <row r="91" spans="1:8">
      <c r="A91" s="9">
        <v>45747</v>
      </c>
      <c r="B91" t="s">
        <v>53</v>
      </c>
      <c r="C91">
        <v>1</v>
      </c>
      <c r="D91" s="10">
        <v>316000</v>
      </c>
      <c r="E91" s="10">
        <f t="shared" si="2"/>
        <v>500</v>
      </c>
      <c r="F91" s="11">
        <f t="shared" si="3"/>
        <v>1.5847860538827259E-3</v>
      </c>
      <c r="G91">
        <v>1</v>
      </c>
      <c r="H91" s="9">
        <v>45747</v>
      </c>
    </row>
    <row r="92" spans="1:8">
      <c r="A92" s="9">
        <v>45748</v>
      </c>
      <c r="B92" t="s">
        <v>54</v>
      </c>
      <c r="C92">
        <v>2</v>
      </c>
      <c r="D92" s="10">
        <v>328500</v>
      </c>
      <c r="E92" s="10">
        <f t="shared" si="2"/>
        <v>12500</v>
      </c>
      <c r="F92" s="11">
        <f t="shared" si="3"/>
        <v>3.9556962025316458E-2</v>
      </c>
      <c r="G92">
        <v>1</v>
      </c>
      <c r="H92" s="9">
        <v>45748</v>
      </c>
    </row>
    <row r="93" spans="1:8">
      <c r="A93" s="9">
        <v>45749</v>
      </c>
      <c r="B93" t="s">
        <v>49</v>
      </c>
      <c r="C93">
        <v>3</v>
      </c>
      <c r="D93" s="10">
        <v>331000</v>
      </c>
      <c r="E93" s="10">
        <f t="shared" si="2"/>
        <v>2500</v>
      </c>
      <c r="F93" s="11">
        <f t="shared" si="3"/>
        <v>7.6103500761035003E-3</v>
      </c>
      <c r="G93">
        <v>1</v>
      </c>
      <c r="H93" s="9">
        <v>45749</v>
      </c>
    </row>
    <row r="94" spans="1:8">
      <c r="A94" s="9">
        <v>45750</v>
      </c>
      <c r="B94" t="s">
        <v>50</v>
      </c>
      <c r="C94">
        <v>4</v>
      </c>
      <c r="D94" s="10">
        <v>331500</v>
      </c>
      <c r="E94" s="10">
        <f t="shared" si="2"/>
        <v>500</v>
      </c>
      <c r="F94" s="11">
        <f t="shared" si="3"/>
        <v>1.5105740181268882E-3</v>
      </c>
      <c r="G94">
        <v>1</v>
      </c>
      <c r="H94" s="9">
        <v>45750</v>
      </c>
    </row>
    <row r="95" spans="1:8">
      <c r="A95" s="9">
        <v>45751</v>
      </c>
      <c r="B95" t="s">
        <v>51</v>
      </c>
      <c r="C95">
        <v>5</v>
      </c>
      <c r="D95" s="10">
        <v>332000</v>
      </c>
      <c r="E95" s="10">
        <f t="shared" si="2"/>
        <v>500</v>
      </c>
      <c r="F95" s="11">
        <f t="shared" si="3"/>
        <v>1.5082956259426848E-3</v>
      </c>
      <c r="G95">
        <v>1</v>
      </c>
      <c r="H95" s="9">
        <v>45751</v>
      </c>
    </row>
    <row r="96" spans="1:8">
      <c r="A96" s="9">
        <v>45752</v>
      </c>
      <c r="B96" t="s">
        <v>52</v>
      </c>
      <c r="C96">
        <v>6</v>
      </c>
      <c r="D96" s="10">
        <v>332500</v>
      </c>
      <c r="E96" s="10">
        <f t="shared" si="2"/>
        <v>500</v>
      </c>
      <c r="F96" s="11">
        <f t="shared" si="3"/>
        <v>1.5060240963855422E-3</v>
      </c>
      <c r="G96">
        <v>1</v>
      </c>
      <c r="H96" s="9">
        <v>45752</v>
      </c>
    </row>
    <row r="97" spans="1:8">
      <c r="A97" s="9">
        <v>45753</v>
      </c>
      <c r="B97" t="s">
        <v>55</v>
      </c>
      <c r="C97">
        <v>7</v>
      </c>
      <c r="D97" s="10">
        <v>332500</v>
      </c>
      <c r="E97" s="10">
        <f t="shared" si="2"/>
        <v>0</v>
      </c>
      <c r="F97" s="11">
        <f t="shared" si="3"/>
        <v>0</v>
      </c>
      <c r="G97">
        <v>0</v>
      </c>
      <c r="H97" s="9">
        <v>45752</v>
      </c>
    </row>
    <row r="98" spans="1:8">
      <c r="A98" s="9">
        <v>45754</v>
      </c>
      <c r="B98" t="s">
        <v>53</v>
      </c>
      <c r="C98">
        <v>1</v>
      </c>
      <c r="D98" s="10">
        <v>333500</v>
      </c>
      <c r="E98" s="10">
        <f t="shared" si="2"/>
        <v>1000</v>
      </c>
      <c r="F98" s="11">
        <f t="shared" si="3"/>
        <v>3.0075187969924814E-3</v>
      </c>
      <c r="G98">
        <v>1</v>
      </c>
      <c r="H98" s="9">
        <v>45754</v>
      </c>
    </row>
    <row r="99" spans="1:8">
      <c r="A99" s="9">
        <v>45755</v>
      </c>
      <c r="B99" t="s">
        <v>54</v>
      </c>
      <c r="C99">
        <v>2</v>
      </c>
      <c r="D99" s="10">
        <v>333500</v>
      </c>
      <c r="E99" s="10">
        <f t="shared" si="2"/>
        <v>0</v>
      </c>
      <c r="F99" s="11">
        <f t="shared" si="3"/>
        <v>0</v>
      </c>
      <c r="G99">
        <v>1</v>
      </c>
      <c r="H99" s="9">
        <v>45755</v>
      </c>
    </row>
    <row r="100" spans="1:8">
      <c r="A100" s="9">
        <v>45756</v>
      </c>
      <c r="B100" t="s">
        <v>49</v>
      </c>
      <c r="C100">
        <v>3</v>
      </c>
      <c r="D100" s="10">
        <v>334000</v>
      </c>
      <c r="E100" s="10">
        <f t="shared" si="2"/>
        <v>500</v>
      </c>
      <c r="F100" s="11">
        <f t="shared" si="3"/>
        <v>1.4992503748125937E-3</v>
      </c>
      <c r="G100">
        <v>1</v>
      </c>
      <c r="H100" s="9">
        <v>45756</v>
      </c>
    </row>
    <row r="101" spans="1:8">
      <c r="A101" s="9">
        <v>45757</v>
      </c>
      <c r="B101" t="s">
        <v>50</v>
      </c>
      <c r="C101">
        <v>4</v>
      </c>
      <c r="D101" s="10">
        <v>334000</v>
      </c>
      <c r="E101" s="10">
        <f t="shared" si="2"/>
        <v>0</v>
      </c>
      <c r="F101" s="11">
        <f t="shared" si="3"/>
        <v>0</v>
      </c>
      <c r="G101">
        <v>1</v>
      </c>
      <c r="H101" s="9">
        <v>45757</v>
      </c>
    </row>
    <row r="102" spans="1:8">
      <c r="A102" s="9">
        <v>45758</v>
      </c>
      <c r="B102" t="s">
        <v>51</v>
      </c>
      <c r="C102">
        <v>5</v>
      </c>
      <c r="D102" s="10">
        <v>335000</v>
      </c>
      <c r="E102" s="10">
        <f t="shared" si="2"/>
        <v>1000</v>
      </c>
      <c r="F102" s="11">
        <f t="shared" si="3"/>
        <v>2.9940119760479044E-3</v>
      </c>
      <c r="G102">
        <v>1</v>
      </c>
      <c r="H102" s="9">
        <v>45758</v>
      </c>
    </row>
    <row r="103" spans="1:8">
      <c r="A103" s="9">
        <v>45759</v>
      </c>
      <c r="B103" t="s">
        <v>52</v>
      </c>
      <c r="C103">
        <v>6</v>
      </c>
      <c r="D103" s="10">
        <v>335500</v>
      </c>
      <c r="E103" s="10">
        <f t="shared" si="2"/>
        <v>500</v>
      </c>
      <c r="F103" s="11">
        <f t="shared" si="3"/>
        <v>1.4925373134328358E-3</v>
      </c>
      <c r="G103">
        <v>1</v>
      </c>
      <c r="H103" s="9">
        <v>45759</v>
      </c>
    </row>
    <row r="104" spans="1:8">
      <c r="A104" s="9">
        <v>45760</v>
      </c>
      <c r="B104" t="s">
        <v>55</v>
      </c>
      <c r="C104">
        <v>7</v>
      </c>
      <c r="D104" s="10">
        <v>335500</v>
      </c>
      <c r="E104" s="10">
        <f t="shared" si="2"/>
        <v>0</v>
      </c>
      <c r="F104" s="11">
        <f t="shared" si="3"/>
        <v>0</v>
      </c>
      <c r="G104">
        <v>0</v>
      </c>
      <c r="H104" s="9">
        <v>45759</v>
      </c>
    </row>
    <row r="105" spans="1:8">
      <c r="A105" s="9">
        <v>45761</v>
      </c>
      <c r="B105" t="s">
        <v>53</v>
      </c>
      <c r="C105">
        <v>1</v>
      </c>
      <c r="D105" s="10">
        <v>336000</v>
      </c>
      <c r="E105" s="10">
        <f t="shared" si="2"/>
        <v>500</v>
      </c>
      <c r="F105" s="11">
        <f t="shared" si="3"/>
        <v>1.4903129657228018E-3</v>
      </c>
      <c r="G105">
        <v>1</v>
      </c>
      <c r="H105" s="9">
        <v>45761</v>
      </c>
    </row>
    <row r="106" spans="1:8">
      <c r="A106" s="9">
        <v>45762</v>
      </c>
      <c r="B106" t="s">
        <v>54</v>
      </c>
      <c r="C106">
        <v>2</v>
      </c>
      <c r="D106" s="10">
        <v>335000</v>
      </c>
      <c r="E106" s="10">
        <f t="shared" si="2"/>
        <v>-1000</v>
      </c>
      <c r="F106" s="11">
        <f t="shared" si="3"/>
        <v>-2.976190476190476E-3</v>
      </c>
      <c r="G106">
        <v>1</v>
      </c>
      <c r="H106" s="9">
        <v>45762</v>
      </c>
    </row>
    <row r="107" spans="1:8">
      <c r="A107" s="9">
        <v>45763</v>
      </c>
      <c r="B107" t="s">
        <v>49</v>
      </c>
      <c r="C107">
        <v>3</v>
      </c>
      <c r="D107" s="10">
        <v>336500</v>
      </c>
      <c r="E107" s="10">
        <f t="shared" si="2"/>
        <v>1500</v>
      </c>
      <c r="F107" s="11">
        <f t="shared" si="3"/>
        <v>4.4776119402985077E-3</v>
      </c>
      <c r="G107">
        <v>1</v>
      </c>
      <c r="H107" s="9">
        <v>45763</v>
      </c>
    </row>
    <row r="108" spans="1:8">
      <c r="A108" s="9">
        <v>45764</v>
      </c>
      <c r="B108" t="s">
        <v>50</v>
      </c>
      <c r="C108">
        <v>4</v>
      </c>
      <c r="D108" s="10">
        <v>336500</v>
      </c>
      <c r="E108" s="10">
        <f t="shared" si="2"/>
        <v>0</v>
      </c>
      <c r="F108" s="11">
        <f t="shared" si="3"/>
        <v>0</v>
      </c>
      <c r="G108">
        <v>1</v>
      </c>
      <c r="H108" s="9">
        <v>45764</v>
      </c>
    </row>
    <row r="109" spans="1:8">
      <c r="A109" s="9">
        <v>45765</v>
      </c>
      <c r="B109" t="s">
        <v>51</v>
      </c>
      <c r="C109">
        <v>5</v>
      </c>
      <c r="D109" s="10">
        <v>337000</v>
      </c>
      <c r="E109" s="10">
        <f t="shared" si="2"/>
        <v>500</v>
      </c>
      <c r="F109" s="11">
        <f t="shared" si="3"/>
        <v>1.4858841010401188E-3</v>
      </c>
      <c r="G109">
        <v>1</v>
      </c>
      <c r="H109" s="9">
        <v>45765</v>
      </c>
    </row>
    <row r="110" spans="1:8">
      <c r="A110" s="9">
        <v>45766</v>
      </c>
      <c r="B110" t="s">
        <v>52</v>
      </c>
      <c r="C110">
        <v>6</v>
      </c>
      <c r="D110" s="10">
        <v>337000</v>
      </c>
      <c r="E110" s="10">
        <f t="shared" si="2"/>
        <v>0</v>
      </c>
      <c r="F110" s="11">
        <f t="shared" si="3"/>
        <v>0</v>
      </c>
      <c r="G110">
        <v>1</v>
      </c>
      <c r="H110" s="9">
        <v>45766</v>
      </c>
    </row>
    <row r="111" spans="1:8">
      <c r="A111" s="9">
        <v>45767</v>
      </c>
      <c r="B111" t="s">
        <v>55</v>
      </c>
      <c r="C111">
        <v>7</v>
      </c>
      <c r="D111" s="10">
        <v>337000</v>
      </c>
      <c r="E111" s="10">
        <f t="shared" si="2"/>
        <v>0</v>
      </c>
      <c r="F111" s="11">
        <f t="shared" si="3"/>
        <v>0</v>
      </c>
      <c r="G111">
        <v>0</v>
      </c>
      <c r="H111" s="9">
        <v>45766</v>
      </c>
    </row>
    <row r="112" spans="1:8">
      <c r="A112" s="9">
        <v>45768</v>
      </c>
      <c r="B112" t="s">
        <v>53</v>
      </c>
      <c r="C112">
        <v>1</v>
      </c>
      <c r="D112" s="10">
        <v>338000</v>
      </c>
      <c r="E112" s="10">
        <f t="shared" si="2"/>
        <v>1000</v>
      </c>
      <c r="F112" s="11">
        <f t="shared" si="3"/>
        <v>2.967359050445104E-3</v>
      </c>
      <c r="G112">
        <v>1</v>
      </c>
      <c r="H112" s="9">
        <v>45768</v>
      </c>
    </row>
    <row r="113" spans="1:8">
      <c r="A113" s="9">
        <v>45769</v>
      </c>
      <c r="B113" t="s">
        <v>54</v>
      </c>
      <c r="C113">
        <v>2</v>
      </c>
      <c r="D113" s="10">
        <v>339000</v>
      </c>
      <c r="E113" s="10">
        <f t="shared" si="2"/>
        <v>1000</v>
      </c>
      <c r="F113" s="11">
        <f t="shared" si="3"/>
        <v>2.9585798816568047E-3</v>
      </c>
      <c r="G113">
        <v>1</v>
      </c>
      <c r="H113" s="9">
        <v>45769</v>
      </c>
    </row>
    <row r="114" spans="1:8">
      <c r="A114" s="9">
        <v>45770</v>
      </c>
      <c r="B114" t="s">
        <v>49</v>
      </c>
      <c r="C114">
        <v>3</v>
      </c>
      <c r="D114" s="10">
        <v>339000</v>
      </c>
      <c r="E114" s="10">
        <f t="shared" si="2"/>
        <v>0</v>
      </c>
      <c r="F114" s="11">
        <f t="shared" si="3"/>
        <v>0</v>
      </c>
      <c r="G114">
        <v>1</v>
      </c>
      <c r="H114" s="9">
        <v>45770</v>
      </c>
    </row>
    <row r="115" spans="1:8">
      <c r="A115" s="9">
        <v>45771</v>
      </c>
      <c r="B115" t="s">
        <v>50</v>
      </c>
      <c r="C115">
        <v>4</v>
      </c>
      <c r="D115" s="10">
        <v>339000</v>
      </c>
      <c r="E115" s="10">
        <f t="shared" si="2"/>
        <v>0</v>
      </c>
      <c r="F115" s="11">
        <f t="shared" si="3"/>
        <v>0</v>
      </c>
      <c r="G115">
        <v>1</v>
      </c>
      <c r="H115" s="9">
        <v>45771</v>
      </c>
    </row>
    <row r="116" spans="1:8">
      <c r="A116" s="9">
        <v>45772</v>
      </c>
      <c r="B116" t="s">
        <v>51</v>
      </c>
      <c r="C116">
        <v>5</v>
      </c>
      <c r="D116" s="10">
        <v>339000</v>
      </c>
      <c r="E116" s="10">
        <f t="shared" si="2"/>
        <v>0</v>
      </c>
      <c r="F116" s="11">
        <f t="shared" si="3"/>
        <v>0</v>
      </c>
      <c r="G116">
        <v>1</v>
      </c>
      <c r="H116" s="9">
        <v>45772</v>
      </c>
    </row>
    <row r="117" spans="1:8">
      <c r="A117" s="9">
        <v>45773</v>
      </c>
      <c r="B117" t="s">
        <v>52</v>
      </c>
      <c r="C117">
        <v>6</v>
      </c>
      <c r="D117" s="10">
        <v>339000</v>
      </c>
      <c r="E117" s="10">
        <f t="shared" si="2"/>
        <v>0</v>
      </c>
      <c r="F117" s="11">
        <f t="shared" si="3"/>
        <v>0</v>
      </c>
      <c r="G117">
        <v>1</v>
      </c>
      <c r="H117" s="9">
        <v>45773</v>
      </c>
    </row>
    <row r="118" spans="1:8">
      <c r="A118" s="9">
        <v>45774</v>
      </c>
      <c r="B118" t="s">
        <v>55</v>
      </c>
      <c r="C118">
        <v>7</v>
      </c>
      <c r="D118" s="10">
        <v>339000</v>
      </c>
      <c r="E118" s="10">
        <f t="shared" si="2"/>
        <v>0</v>
      </c>
      <c r="F118" s="11">
        <f t="shared" si="3"/>
        <v>0</v>
      </c>
      <c r="G118">
        <v>0</v>
      </c>
      <c r="H118" s="9">
        <v>45773</v>
      </c>
    </row>
    <row r="119" spans="1:8">
      <c r="A119" s="9">
        <v>45775</v>
      </c>
      <c r="B119" t="s">
        <v>53</v>
      </c>
      <c r="C119">
        <v>1</v>
      </c>
      <c r="D119" s="10">
        <v>339500</v>
      </c>
      <c r="E119" s="10">
        <f t="shared" si="2"/>
        <v>500</v>
      </c>
      <c r="F119" s="11">
        <f t="shared" si="3"/>
        <v>1.4749262536873156E-3</v>
      </c>
      <c r="G119">
        <v>1</v>
      </c>
      <c r="H119" s="9">
        <v>45775</v>
      </c>
    </row>
    <row r="120" spans="1:8">
      <c r="A120" s="9">
        <v>45776</v>
      </c>
      <c r="B120" t="s">
        <v>54</v>
      </c>
      <c r="C120">
        <v>2</v>
      </c>
      <c r="D120" s="10">
        <v>340000</v>
      </c>
      <c r="E120" s="10">
        <f t="shared" si="2"/>
        <v>500</v>
      </c>
      <c r="F120" s="11">
        <f t="shared" si="3"/>
        <v>1.4727540500736377E-3</v>
      </c>
      <c r="G120">
        <v>1</v>
      </c>
      <c r="H120" s="9">
        <v>45776</v>
      </c>
    </row>
    <row r="121" spans="1:8">
      <c r="A121" s="9">
        <v>45777</v>
      </c>
      <c r="B121" t="s">
        <v>49</v>
      </c>
      <c r="C121">
        <v>3</v>
      </c>
      <c r="D121" s="10">
        <v>340500</v>
      </c>
      <c r="E121" s="10">
        <f t="shared" si="2"/>
        <v>500</v>
      </c>
      <c r="F121" s="11">
        <f t="shared" si="3"/>
        <v>1.4705882352941176E-3</v>
      </c>
      <c r="G121">
        <v>1</v>
      </c>
      <c r="H121" s="9">
        <v>45777</v>
      </c>
    </row>
    <row r="122" spans="1:8">
      <c r="A122" s="9">
        <v>45778</v>
      </c>
      <c r="B122" t="s">
        <v>50</v>
      </c>
      <c r="C122">
        <v>4</v>
      </c>
      <c r="D122" s="10">
        <v>342000</v>
      </c>
      <c r="E122" s="10">
        <f t="shared" si="2"/>
        <v>1500</v>
      </c>
      <c r="F122" s="11">
        <f t="shared" si="3"/>
        <v>4.4052863436123352E-3</v>
      </c>
      <c r="G122">
        <v>1</v>
      </c>
      <c r="H122" s="9">
        <v>45778</v>
      </c>
    </row>
    <row r="123" spans="1:8">
      <c r="A123" s="9">
        <v>45779</v>
      </c>
      <c r="B123" t="s">
        <v>51</v>
      </c>
      <c r="C123">
        <v>5</v>
      </c>
      <c r="D123" s="10">
        <v>340500</v>
      </c>
      <c r="E123" s="10">
        <f t="shared" si="2"/>
        <v>-1500</v>
      </c>
      <c r="F123" s="11">
        <f t="shared" si="3"/>
        <v>-4.3859649122807015E-3</v>
      </c>
      <c r="G123">
        <v>1</v>
      </c>
      <c r="H123" s="9">
        <v>45779</v>
      </c>
    </row>
    <row r="124" spans="1:8">
      <c r="A124" s="9">
        <v>45780</v>
      </c>
      <c r="B124" t="s">
        <v>52</v>
      </c>
      <c r="C124">
        <v>6</v>
      </c>
      <c r="D124" s="10">
        <v>341000</v>
      </c>
      <c r="E124" s="10">
        <f t="shared" si="2"/>
        <v>500</v>
      </c>
      <c r="F124" s="11">
        <f t="shared" si="3"/>
        <v>1.4684287812041115E-3</v>
      </c>
      <c r="G124">
        <v>1</v>
      </c>
      <c r="H124" s="9">
        <v>45780</v>
      </c>
    </row>
    <row r="125" spans="1:8">
      <c r="A125" s="9">
        <v>45781</v>
      </c>
      <c r="B125" t="s">
        <v>55</v>
      </c>
      <c r="C125">
        <v>7</v>
      </c>
      <c r="D125" s="10">
        <v>341000</v>
      </c>
      <c r="E125" s="10">
        <f t="shared" si="2"/>
        <v>0</v>
      </c>
      <c r="F125" s="11">
        <f t="shared" si="3"/>
        <v>0</v>
      </c>
      <c r="G125">
        <v>0</v>
      </c>
      <c r="H125" s="9">
        <v>45780</v>
      </c>
    </row>
    <row r="126" spans="1:8">
      <c r="A126" s="9">
        <v>45782</v>
      </c>
      <c r="B126" t="s">
        <v>53</v>
      </c>
      <c r="C126">
        <v>1</v>
      </c>
      <c r="D126" s="10">
        <v>342000</v>
      </c>
      <c r="E126" s="10">
        <f t="shared" si="2"/>
        <v>1000</v>
      </c>
      <c r="F126" s="11">
        <f t="shared" si="3"/>
        <v>2.9325513196480938E-3</v>
      </c>
      <c r="G126">
        <v>1</v>
      </c>
      <c r="H126" s="9">
        <v>45782</v>
      </c>
    </row>
    <row r="127" spans="1:8">
      <c r="A127" s="9">
        <v>45783</v>
      </c>
      <c r="B127" t="s">
        <v>54</v>
      </c>
      <c r="C127">
        <v>2</v>
      </c>
      <c r="D127" s="10">
        <v>342500</v>
      </c>
      <c r="E127" s="10">
        <f t="shared" si="2"/>
        <v>500</v>
      </c>
      <c r="F127" s="11">
        <f t="shared" si="3"/>
        <v>1.4619883040935672E-3</v>
      </c>
      <c r="G127">
        <v>1</v>
      </c>
      <c r="H127" s="9">
        <v>45783</v>
      </c>
    </row>
    <row r="128" spans="1:8">
      <c r="A128" s="9">
        <v>45784</v>
      </c>
      <c r="B128" t="s">
        <v>49</v>
      </c>
      <c r="C128">
        <v>3</v>
      </c>
      <c r="D128" s="10">
        <v>342000</v>
      </c>
      <c r="E128" s="10">
        <f t="shared" si="2"/>
        <v>-500</v>
      </c>
      <c r="F128" s="11">
        <f t="shared" si="3"/>
        <v>-1.4598540145985401E-3</v>
      </c>
      <c r="G128">
        <v>1</v>
      </c>
      <c r="H128" s="9">
        <v>45784</v>
      </c>
    </row>
    <row r="129" spans="1:8">
      <c r="A129" s="9">
        <v>45785</v>
      </c>
      <c r="B129" t="s">
        <v>50</v>
      </c>
      <c r="C129">
        <v>4</v>
      </c>
      <c r="D129" s="10">
        <v>342500</v>
      </c>
      <c r="E129" s="10">
        <f t="shared" si="2"/>
        <v>500</v>
      </c>
      <c r="F129" s="11">
        <f t="shared" si="3"/>
        <v>1.4619883040935672E-3</v>
      </c>
      <c r="G129">
        <v>1</v>
      </c>
      <c r="H129" s="9">
        <v>45785</v>
      </c>
    </row>
    <row r="130" spans="1:8">
      <c r="A130" s="9">
        <v>45786</v>
      </c>
      <c r="B130" t="s">
        <v>51</v>
      </c>
      <c r="C130">
        <v>5</v>
      </c>
      <c r="D130" s="10">
        <v>343000</v>
      </c>
      <c r="E130" s="10">
        <f t="shared" si="2"/>
        <v>500</v>
      </c>
      <c r="F130" s="11">
        <f t="shared" si="3"/>
        <v>1.4598540145985401E-3</v>
      </c>
      <c r="G130">
        <v>1</v>
      </c>
      <c r="H130" s="9">
        <v>45786</v>
      </c>
    </row>
    <row r="131" spans="1:8">
      <c r="A131" s="9">
        <v>45787</v>
      </c>
      <c r="B131" t="s">
        <v>52</v>
      </c>
      <c r="C131">
        <v>6</v>
      </c>
      <c r="D131" s="10">
        <v>343000</v>
      </c>
      <c r="E131" s="10">
        <f t="shared" ref="E131:E194" si="4">D131-D130</f>
        <v>0</v>
      </c>
      <c r="F131" s="11">
        <f t="shared" ref="F131:F194" si="5">IFERROR(E131/D130,0)</f>
        <v>0</v>
      </c>
      <c r="G131">
        <v>1</v>
      </c>
      <c r="H131" s="9">
        <v>45787</v>
      </c>
    </row>
    <row r="132" spans="1:8">
      <c r="A132" s="9">
        <v>45788</v>
      </c>
      <c r="B132" t="s">
        <v>55</v>
      </c>
      <c r="C132">
        <v>7</v>
      </c>
      <c r="D132" s="10">
        <v>343000</v>
      </c>
      <c r="E132" s="10">
        <f t="shared" si="4"/>
        <v>0</v>
      </c>
      <c r="F132" s="11">
        <f t="shared" si="5"/>
        <v>0</v>
      </c>
      <c r="G132">
        <v>0</v>
      </c>
      <c r="H132" s="9">
        <v>45787</v>
      </c>
    </row>
    <row r="133" spans="1:8">
      <c r="A133" s="9">
        <v>45789</v>
      </c>
      <c r="B133" t="s">
        <v>53</v>
      </c>
      <c r="C133">
        <v>1</v>
      </c>
      <c r="D133" s="10">
        <v>343500</v>
      </c>
      <c r="E133" s="10">
        <f t="shared" si="4"/>
        <v>500</v>
      </c>
      <c r="F133" s="11">
        <f t="shared" si="5"/>
        <v>1.4577259475218659E-3</v>
      </c>
      <c r="G133">
        <v>1</v>
      </c>
      <c r="H133" s="9">
        <v>45789</v>
      </c>
    </row>
    <row r="134" spans="1:8">
      <c r="A134" s="9">
        <v>45790</v>
      </c>
      <c r="B134" t="s">
        <v>54</v>
      </c>
      <c r="C134">
        <v>2</v>
      </c>
      <c r="D134" s="10">
        <v>343500</v>
      </c>
      <c r="E134" s="10">
        <f t="shared" si="4"/>
        <v>0</v>
      </c>
      <c r="F134" s="11">
        <f t="shared" si="5"/>
        <v>0</v>
      </c>
      <c r="G134">
        <v>1</v>
      </c>
      <c r="H134" s="9">
        <v>45790</v>
      </c>
    </row>
    <row r="135" spans="1:8">
      <c r="A135" s="9">
        <v>45791</v>
      </c>
      <c r="B135" t="s">
        <v>49</v>
      </c>
      <c r="C135">
        <v>3</v>
      </c>
      <c r="D135" s="10">
        <v>344000</v>
      </c>
      <c r="E135" s="10">
        <f t="shared" si="4"/>
        <v>500</v>
      </c>
      <c r="F135" s="11">
        <f t="shared" si="5"/>
        <v>1.455604075691412E-3</v>
      </c>
      <c r="G135">
        <v>1</v>
      </c>
      <c r="H135" s="9">
        <v>45791</v>
      </c>
    </row>
    <row r="136" spans="1:8">
      <c r="A136" s="9">
        <v>45792</v>
      </c>
      <c r="B136" t="s">
        <v>50</v>
      </c>
      <c r="C136">
        <v>4</v>
      </c>
      <c r="D136" s="10">
        <v>348000</v>
      </c>
      <c r="E136" s="10">
        <f t="shared" si="4"/>
        <v>4000</v>
      </c>
      <c r="F136" s="11">
        <f t="shared" si="5"/>
        <v>1.1627906976744186E-2</v>
      </c>
      <c r="G136">
        <v>1</v>
      </c>
      <c r="H136" s="9">
        <v>45792</v>
      </c>
    </row>
    <row r="137" spans="1:8">
      <c r="A137" s="9">
        <v>45793</v>
      </c>
      <c r="B137" t="s">
        <v>51</v>
      </c>
      <c r="C137">
        <v>5</v>
      </c>
      <c r="D137" s="10">
        <v>343500</v>
      </c>
      <c r="E137" s="10">
        <f t="shared" si="4"/>
        <v>-4500</v>
      </c>
      <c r="F137" s="11">
        <f t="shared" si="5"/>
        <v>-1.2931034482758621E-2</v>
      </c>
      <c r="G137">
        <v>1</v>
      </c>
      <c r="H137" s="9">
        <v>45793</v>
      </c>
    </row>
    <row r="138" spans="1:8">
      <c r="A138" s="9">
        <v>45794</v>
      </c>
      <c r="B138" t="s">
        <v>52</v>
      </c>
      <c r="C138">
        <v>6</v>
      </c>
      <c r="D138" s="10">
        <v>344000</v>
      </c>
      <c r="E138" s="10">
        <f t="shared" si="4"/>
        <v>500</v>
      </c>
      <c r="F138" s="11">
        <f t="shared" si="5"/>
        <v>1.455604075691412E-3</v>
      </c>
      <c r="G138">
        <v>1</v>
      </c>
      <c r="H138" s="9">
        <v>45794</v>
      </c>
    </row>
    <row r="139" spans="1:8">
      <c r="A139" s="9">
        <v>45795</v>
      </c>
      <c r="B139" t="s">
        <v>55</v>
      </c>
      <c r="C139">
        <v>7</v>
      </c>
      <c r="D139" s="10">
        <v>344000</v>
      </c>
      <c r="E139" s="10">
        <f t="shared" si="4"/>
        <v>0</v>
      </c>
      <c r="F139" s="11">
        <f t="shared" si="5"/>
        <v>0</v>
      </c>
      <c r="G139">
        <v>0</v>
      </c>
      <c r="H139" s="9">
        <v>45794</v>
      </c>
    </row>
    <row r="140" spans="1:8">
      <c r="A140" s="9">
        <v>45796</v>
      </c>
      <c r="B140" t="s">
        <v>53</v>
      </c>
      <c r="C140">
        <v>1</v>
      </c>
      <c r="D140" s="10">
        <v>343500</v>
      </c>
      <c r="E140" s="10">
        <f t="shared" si="4"/>
        <v>-500</v>
      </c>
      <c r="F140" s="11">
        <f t="shared" si="5"/>
        <v>-1.4534883720930232E-3</v>
      </c>
      <c r="G140">
        <v>1</v>
      </c>
      <c r="H140" s="9">
        <v>45796</v>
      </c>
    </row>
    <row r="141" spans="1:8">
      <c r="A141" s="9">
        <v>45797</v>
      </c>
      <c r="B141" t="s">
        <v>54</v>
      </c>
      <c r="C141">
        <v>2</v>
      </c>
      <c r="D141" s="10">
        <v>343500</v>
      </c>
      <c r="E141" s="10">
        <f t="shared" si="4"/>
        <v>0</v>
      </c>
      <c r="F141" s="11">
        <f t="shared" si="5"/>
        <v>0</v>
      </c>
      <c r="G141">
        <v>1</v>
      </c>
      <c r="H141" s="9">
        <v>45797</v>
      </c>
    </row>
    <row r="142" spans="1:8">
      <c r="A142" s="9">
        <v>45798</v>
      </c>
      <c r="B142" t="s">
        <v>49</v>
      </c>
      <c r="C142">
        <v>3</v>
      </c>
      <c r="D142" s="10">
        <v>343500</v>
      </c>
      <c r="E142" s="10">
        <f t="shared" si="4"/>
        <v>0</v>
      </c>
      <c r="F142" s="11">
        <f t="shared" si="5"/>
        <v>0</v>
      </c>
      <c r="G142">
        <v>1</v>
      </c>
      <c r="H142" s="9">
        <v>45798</v>
      </c>
    </row>
    <row r="143" spans="1:8">
      <c r="A143" s="9">
        <v>45799</v>
      </c>
      <c r="B143" t="s">
        <v>50</v>
      </c>
      <c r="C143">
        <v>4</v>
      </c>
      <c r="D143" s="10">
        <v>343000</v>
      </c>
      <c r="E143" s="10">
        <f t="shared" si="4"/>
        <v>-500</v>
      </c>
      <c r="F143" s="11">
        <f t="shared" si="5"/>
        <v>-1.455604075691412E-3</v>
      </c>
      <c r="G143">
        <v>1</v>
      </c>
      <c r="H143" s="9">
        <v>45799</v>
      </c>
    </row>
    <row r="144" spans="1:8">
      <c r="A144" s="9">
        <v>45800</v>
      </c>
      <c r="B144" t="s">
        <v>51</v>
      </c>
      <c r="C144">
        <v>5</v>
      </c>
      <c r="D144" s="10">
        <v>342500</v>
      </c>
      <c r="E144" s="10">
        <f t="shared" si="4"/>
        <v>-500</v>
      </c>
      <c r="F144" s="11">
        <f t="shared" si="5"/>
        <v>-1.4577259475218659E-3</v>
      </c>
      <c r="G144">
        <v>1</v>
      </c>
      <c r="H144" s="9">
        <v>45800</v>
      </c>
    </row>
    <row r="145" spans="1:8">
      <c r="A145" s="9">
        <v>45801</v>
      </c>
      <c r="B145" t="s">
        <v>52</v>
      </c>
      <c r="C145">
        <v>6</v>
      </c>
      <c r="D145" s="10">
        <v>342500</v>
      </c>
      <c r="E145" s="10">
        <f t="shared" si="4"/>
        <v>0</v>
      </c>
      <c r="F145" s="11">
        <f t="shared" si="5"/>
        <v>0</v>
      </c>
      <c r="G145">
        <v>1</v>
      </c>
      <c r="H145" s="9">
        <v>45801</v>
      </c>
    </row>
    <row r="146" spans="1:8">
      <c r="A146" s="9">
        <v>45802</v>
      </c>
      <c r="B146" t="s">
        <v>55</v>
      </c>
      <c r="C146">
        <v>7</v>
      </c>
      <c r="D146" s="10">
        <v>342500</v>
      </c>
      <c r="E146" s="10">
        <f t="shared" si="4"/>
        <v>0</v>
      </c>
      <c r="F146" s="11">
        <f t="shared" si="5"/>
        <v>0</v>
      </c>
      <c r="G146">
        <v>0</v>
      </c>
      <c r="H146" s="9">
        <v>45801</v>
      </c>
    </row>
    <row r="147" spans="1:8">
      <c r="A147" s="9">
        <v>45803</v>
      </c>
      <c r="B147" t="s">
        <v>53</v>
      </c>
      <c r="C147">
        <v>1</v>
      </c>
      <c r="D147" s="10">
        <v>342500</v>
      </c>
      <c r="E147" s="10">
        <f t="shared" si="4"/>
        <v>0</v>
      </c>
      <c r="F147" s="11">
        <f t="shared" si="5"/>
        <v>0</v>
      </c>
      <c r="G147">
        <v>1</v>
      </c>
      <c r="H147" s="9">
        <v>45803</v>
      </c>
    </row>
    <row r="148" spans="1:8">
      <c r="A148" s="9">
        <v>45804</v>
      </c>
      <c r="B148" t="s">
        <v>54</v>
      </c>
      <c r="C148">
        <v>2</v>
      </c>
      <c r="D148" s="10">
        <v>343500</v>
      </c>
      <c r="E148" s="10">
        <f t="shared" si="4"/>
        <v>1000</v>
      </c>
      <c r="F148" s="11">
        <f t="shared" si="5"/>
        <v>2.9197080291970801E-3</v>
      </c>
      <c r="G148">
        <v>1</v>
      </c>
      <c r="H148" s="9">
        <v>45804</v>
      </c>
    </row>
    <row r="149" spans="1:8">
      <c r="A149" s="9">
        <v>45805</v>
      </c>
      <c r="B149" t="s">
        <v>49</v>
      </c>
      <c r="C149">
        <v>3</v>
      </c>
      <c r="D149" s="10">
        <v>343500</v>
      </c>
      <c r="E149" s="10">
        <f t="shared" si="4"/>
        <v>0</v>
      </c>
      <c r="F149" s="11">
        <f t="shared" si="5"/>
        <v>0</v>
      </c>
      <c r="G149">
        <v>1</v>
      </c>
      <c r="H149" s="9">
        <v>45805</v>
      </c>
    </row>
    <row r="150" spans="1:8">
      <c r="A150" s="9">
        <v>45806</v>
      </c>
      <c r="B150" t="s">
        <v>50</v>
      </c>
      <c r="C150">
        <v>4</v>
      </c>
      <c r="D150" s="10">
        <v>343000</v>
      </c>
      <c r="E150" s="10">
        <f t="shared" si="4"/>
        <v>-500</v>
      </c>
      <c r="F150" s="11">
        <f t="shared" si="5"/>
        <v>-1.455604075691412E-3</v>
      </c>
      <c r="G150">
        <v>1</v>
      </c>
      <c r="H150" s="9">
        <v>45806</v>
      </c>
    </row>
    <row r="151" spans="1:8">
      <c r="A151" s="9">
        <v>45807</v>
      </c>
      <c r="B151" t="s">
        <v>51</v>
      </c>
      <c r="C151">
        <v>5</v>
      </c>
      <c r="D151" s="10">
        <v>344000</v>
      </c>
      <c r="E151" s="10">
        <f t="shared" si="4"/>
        <v>1000</v>
      </c>
      <c r="F151" s="11">
        <f t="shared" si="5"/>
        <v>2.9154518950437317E-3</v>
      </c>
      <c r="G151">
        <v>1</v>
      </c>
      <c r="H151" s="9">
        <v>45807</v>
      </c>
    </row>
    <row r="152" spans="1:8">
      <c r="A152" s="9">
        <v>45808</v>
      </c>
      <c r="B152" t="s">
        <v>52</v>
      </c>
      <c r="C152">
        <v>6</v>
      </c>
      <c r="D152" s="10">
        <v>344500</v>
      </c>
      <c r="E152" s="10">
        <f t="shared" si="4"/>
        <v>500</v>
      </c>
      <c r="F152" s="11">
        <f t="shared" si="5"/>
        <v>1.4534883720930232E-3</v>
      </c>
      <c r="G152">
        <v>1</v>
      </c>
      <c r="H152" s="9">
        <v>45808</v>
      </c>
    </row>
    <row r="153" spans="1:8">
      <c r="A153" s="9">
        <v>45809</v>
      </c>
      <c r="B153" t="s">
        <v>55</v>
      </c>
      <c r="C153">
        <v>7</v>
      </c>
      <c r="D153" s="10">
        <v>355000</v>
      </c>
      <c r="E153" s="10">
        <f t="shared" si="4"/>
        <v>10500</v>
      </c>
      <c r="F153" s="11">
        <f t="shared" si="5"/>
        <v>3.0478955007256895E-2</v>
      </c>
      <c r="G153">
        <v>1</v>
      </c>
      <c r="H153" s="9">
        <v>45809</v>
      </c>
    </row>
    <row r="154" spans="1:8">
      <c r="A154" s="9">
        <v>45810</v>
      </c>
      <c r="B154" t="s">
        <v>53</v>
      </c>
      <c r="C154">
        <v>1</v>
      </c>
      <c r="D154" s="10">
        <v>347500</v>
      </c>
      <c r="E154" s="10">
        <f t="shared" si="4"/>
        <v>-7500</v>
      </c>
      <c r="F154" s="11">
        <f t="shared" si="5"/>
        <v>-2.1126760563380281E-2</v>
      </c>
      <c r="G154">
        <v>1</v>
      </c>
      <c r="H154" s="9">
        <v>45810</v>
      </c>
    </row>
    <row r="155" spans="1:8">
      <c r="A155" s="9">
        <v>45811</v>
      </c>
      <c r="B155" t="s">
        <v>54</v>
      </c>
      <c r="C155">
        <v>2</v>
      </c>
      <c r="D155" s="10">
        <v>348500</v>
      </c>
      <c r="E155" s="10">
        <f t="shared" si="4"/>
        <v>1000</v>
      </c>
      <c r="F155" s="11">
        <f t="shared" si="5"/>
        <v>2.8776978417266188E-3</v>
      </c>
      <c r="G155">
        <v>1</v>
      </c>
      <c r="H155" s="9">
        <v>45811</v>
      </c>
    </row>
    <row r="156" spans="1:8">
      <c r="A156" s="9">
        <v>45812</v>
      </c>
      <c r="B156" t="s">
        <v>49</v>
      </c>
      <c r="C156">
        <v>3</v>
      </c>
      <c r="D156" s="10">
        <v>349000</v>
      </c>
      <c r="E156" s="10">
        <f t="shared" si="4"/>
        <v>500</v>
      </c>
      <c r="F156" s="11">
        <f t="shared" si="5"/>
        <v>1.4347202295552368E-3</v>
      </c>
      <c r="G156">
        <v>1</v>
      </c>
      <c r="H156" s="9">
        <v>45812</v>
      </c>
    </row>
    <row r="157" spans="1:8">
      <c r="A157" s="9">
        <v>45813</v>
      </c>
      <c r="B157" t="s">
        <v>50</v>
      </c>
      <c r="C157">
        <v>4</v>
      </c>
      <c r="D157" s="10">
        <v>349500</v>
      </c>
      <c r="E157" s="10">
        <f t="shared" si="4"/>
        <v>500</v>
      </c>
      <c r="F157" s="11">
        <f t="shared" si="5"/>
        <v>1.4326647564469914E-3</v>
      </c>
      <c r="G157">
        <v>1</v>
      </c>
      <c r="H157" s="9">
        <v>45813</v>
      </c>
    </row>
    <row r="158" spans="1:8">
      <c r="A158" s="9">
        <v>45814</v>
      </c>
      <c r="B158" t="s">
        <v>51</v>
      </c>
      <c r="C158">
        <v>5</v>
      </c>
      <c r="D158" s="10">
        <v>350500</v>
      </c>
      <c r="E158" s="10">
        <f t="shared" si="4"/>
        <v>1000</v>
      </c>
      <c r="F158" s="11">
        <f t="shared" si="5"/>
        <v>2.8612303290414878E-3</v>
      </c>
      <c r="G158">
        <v>1</v>
      </c>
      <c r="H158" s="9">
        <v>45814</v>
      </c>
    </row>
    <row r="159" spans="1:8">
      <c r="A159" s="9">
        <v>45815</v>
      </c>
      <c r="B159" t="s">
        <v>52</v>
      </c>
      <c r="C159">
        <v>6</v>
      </c>
      <c r="D159" s="10">
        <v>351500</v>
      </c>
      <c r="E159" s="10">
        <f t="shared" si="4"/>
        <v>1000</v>
      </c>
      <c r="F159" s="11">
        <f t="shared" si="5"/>
        <v>2.8530670470756064E-3</v>
      </c>
      <c r="G159">
        <v>1</v>
      </c>
      <c r="H159" s="9">
        <v>45815</v>
      </c>
    </row>
    <row r="160" spans="1:8">
      <c r="A160" s="9">
        <v>45816</v>
      </c>
      <c r="B160" t="s">
        <v>55</v>
      </c>
      <c r="C160">
        <v>7</v>
      </c>
      <c r="D160" s="10">
        <v>351500</v>
      </c>
      <c r="E160" s="10">
        <f t="shared" si="4"/>
        <v>0</v>
      </c>
      <c r="F160" s="11">
        <f t="shared" si="5"/>
        <v>0</v>
      </c>
      <c r="G160">
        <v>0</v>
      </c>
      <c r="H160" s="9">
        <v>45815</v>
      </c>
    </row>
    <row r="161" spans="1:8">
      <c r="A161" s="9">
        <v>45817</v>
      </c>
      <c r="B161" t="s">
        <v>53</v>
      </c>
      <c r="C161">
        <v>1</v>
      </c>
      <c r="D161" s="10">
        <v>351500</v>
      </c>
      <c r="E161" s="10">
        <f t="shared" si="4"/>
        <v>0</v>
      </c>
      <c r="F161" s="11">
        <f t="shared" si="5"/>
        <v>0</v>
      </c>
      <c r="G161">
        <v>1</v>
      </c>
      <c r="H161" s="9">
        <v>45817</v>
      </c>
    </row>
    <row r="162" spans="1:8">
      <c r="A162" s="9">
        <v>45818</v>
      </c>
      <c r="B162" t="s">
        <v>54</v>
      </c>
      <c r="C162">
        <v>2</v>
      </c>
      <c r="D162" s="10">
        <v>352500</v>
      </c>
      <c r="E162" s="10">
        <f t="shared" si="4"/>
        <v>1000</v>
      </c>
      <c r="F162" s="11">
        <f t="shared" si="5"/>
        <v>2.8449502133712661E-3</v>
      </c>
      <c r="G162">
        <v>1</v>
      </c>
      <c r="H162" s="9">
        <v>45818</v>
      </c>
    </row>
    <row r="163" spans="1:8">
      <c r="A163" s="9">
        <v>45819</v>
      </c>
      <c r="B163" t="s">
        <v>49</v>
      </c>
      <c r="C163">
        <v>3</v>
      </c>
      <c r="D163" s="10">
        <v>353000</v>
      </c>
      <c r="E163" s="10">
        <f t="shared" si="4"/>
        <v>500</v>
      </c>
      <c r="F163" s="11">
        <f t="shared" si="5"/>
        <v>1.4184397163120568E-3</v>
      </c>
      <c r="G163">
        <v>1</v>
      </c>
      <c r="H163" s="9">
        <v>45819</v>
      </c>
    </row>
    <row r="164" spans="1:8">
      <c r="A164" s="9">
        <v>45820</v>
      </c>
      <c r="B164" t="s">
        <v>50</v>
      </c>
      <c r="C164">
        <v>4</v>
      </c>
      <c r="D164" s="10">
        <v>352500</v>
      </c>
      <c r="E164" s="10">
        <f t="shared" si="4"/>
        <v>-500</v>
      </c>
      <c r="F164" s="11">
        <f t="shared" si="5"/>
        <v>-1.4164305949008499E-3</v>
      </c>
      <c r="G164">
        <v>1</v>
      </c>
      <c r="H164" s="9">
        <v>45820</v>
      </c>
    </row>
    <row r="165" spans="1:8">
      <c r="A165" s="9">
        <v>45821</v>
      </c>
      <c r="B165" t="s">
        <v>51</v>
      </c>
      <c r="C165">
        <v>5</v>
      </c>
      <c r="D165" s="10">
        <v>352500</v>
      </c>
      <c r="E165" s="10">
        <f t="shared" si="4"/>
        <v>0</v>
      </c>
      <c r="F165" s="11">
        <f t="shared" si="5"/>
        <v>0</v>
      </c>
      <c r="G165">
        <v>1</v>
      </c>
      <c r="H165" s="9">
        <v>45821</v>
      </c>
    </row>
    <row r="166" spans="1:8">
      <c r="A166" s="9">
        <v>45822</v>
      </c>
      <c r="B166" t="s">
        <v>52</v>
      </c>
      <c r="C166">
        <v>6</v>
      </c>
      <c r="D166" s="10">
        <v>352500</v>
      </c>
      <c r="E166" s="10">
        <f t="shared" si="4"/>
        <v>0</v>
      </c>
      <c r="F166" s="11">
        <f t="shared" si="5"/>
        <v>0</v>
      </c>
      <c r="G166">
        <v>1</v>
      </c>
      <c r="H166" s="9">
        <v>45822</v>
      </c>
    </row>
    <row r="167" spans="1:8">
      <c r="A167" s="9">
        <v>45823</v>
      </c>
      <c r="B167" t="s">
        <v>55</v>
      </c>
      <c r="C167">
        <v>7</v>
      </c>
      <c r="D167" s="10">
        <v>360000</v>
      </c>
      <c r="E167" s="10">
        <f t="shared" si="4"/>
        <v>7500</v>
      </c>
      <c r="F167" s="11">
        <f t="shared" si="5"/>
        <v>2.1276595744680851E-2</v>
      </c>
      <c r="G167">
        <v>1</v>
      </c>
      <c r="H167" s="9">
        <v>45823</v>
      </c>
    </row>
    <row r="168" spans="1:8">
      <c r="A168" s="9">
        <v>45824</v>
      </c>
      <c r="B168" t="s">
        <v>53</v>
      </c>
      <c r="C168">
        <v>1</v>
      </c>
      <c r="D168" s="10">
        <v>353500</v>
      </c>
      <c r="E168" s="10">
        <f t="shared" si="4"/>
        <v>-6500</v>
      </c>
      <c r="F168" s="11">
        <f t="shared" si="5"/>
        <v>-1.8055555555555554E-2</v>
      </c>
      <c r="G168">
        <v>1</v>
      </c>
      <c r="H168" s="9">
        <v>45824</v>
      </c>
    </row>
    <row r="169" spans="1:8">
      <c r="A169" s="9">
        <v>45825</v>
      </c>
      <c r="B169" t="s">
        <v>54</v>
      </c>
      <c r="C169">
        <v>2</v>
      </c>
      <c r="D169" s="10">
        <v>354000</v>
      </c>
      <c r="E169" s="10">
        <f t="shared" si="4"/>
        <v>500</v>
      </c>
      <c r="F169" s="11">
        <f t="shared" si="5"/>
        <v>1.4144271570014145E-3</v>
      </c>
      <c r="G169">
        <v>1</v>
      </c>
      <c r="H169" s="9">
        <v>45825</v>
      </c>
    </row>
    <row r="170" spans="1:8">
      <c r="A170" s="9">
        <v>45826</v>
      </c>
      <c r="B170" t="s">
        <v>49</v>
      </c>
      <c r="C170">
        <v>3</v>
      </c>
      <c r="D170" s="10">
        <v>354500</v>
      </c>
      <c r="E170" s="10">
        <f t="shared" si="4"/>
        <v>500</v>
      </c>
      <c r="F170" s="11">
        <f t="shared" si="5"/>
        <v>1.4124293785310734E-3</v>
      </c>
      <c r="G170">
        <v>1</v>
      </c>
      <c r="H170" s="9">
        <v>45826</v>
      </c>
    </row>
    <row r="171" spans="1:8">
      <c r="A171" s="9">
        <v>45827</v>
      </c>
      <c r="B171" t="s">
        <v>50</v>
      </c>
      <c r="C171">
        <v>4</v>
      </c>
      <c r="D171" s="10">
        <v>355000</v>
      </c>
      <c r="E171" s="10">
        <f t="shared" si="4"/>
        <v>500</v>
      </c>
      <c r="F171" s="11">
        <f t="shared" si="5"/>
        <v>1.4104372355430183E-3</v>
      </c>
      <c r="G171">
        <v>1</v>
      </c>
      <c r="H171" s="9">
        <v>45827</v>
      </c>
    </row>
    <row r="172" spans="1:8">
      <c r="A172" s="9">
        <v>45828</v>
      </c>
      <c r="B172" t="s">
        <v>51</v>
      </c>
      <c r="C172">
        <v>5</v>
      </c>
      <c r="D172" s="10">
        <v>354500</v>
      </c>
      <c r="E172" s="10">
        <f t="shared" si="4"/>
        <v>-500</v>
      </c>
      <c r="F172" s="11">
        <f t="shared" si="5"/>
        <v>-1.4084507042253522E-3</v>
      </c>
      <c r="G172">
        <v>1</v>
      </c>
      <c r="H172" s="9">
        <v>45828</v>
      </c>
    </row>
    <row r="173" spans="1:8">
      <c r="A173" s="9">
        <v>45829</v>
      </c>
      <c r="B173" t="s">
        <v>52</v>
      </c>
      <c r="C173">
        <v>6</v>
      </c>
      <c r="D173" s="10">
        <v>354500</v>
      </c>
      <c r="E173" s="10">
        <f t="shared" si="4"/>
        <v>0</v>
      </c>
      <c r="F173" s="11">
        <f t="shared" si="5"/>
        <v>0</v>
      </c>
      <c r="G173">
        <v>1</v>
      </c>
      <c r="H173" s="9">
        <v>45829</v>
      </c>
    </row>
    <row r="174" spans="1:8">
      <c r="A174" s="9">
        <v>45830</v>
      </c>
      <c r="B174" t="s">
        <v>55</v>
      </c>
      <c r="C174">
        <v>7</v>
      </c>
      <c r="D174" s="10">
        <v>354500</v>
      </c>
      <c r="E174" s="10">
        <f t="shared" si="4"/>
        <v>0</v>
      </c>
      <c r="F174" s="11">
        <f t="shared" si="5"/>
        <v>0</v>
      </c>
      <c r="G174">
        <v>0</v>
      </c>
      <c r="H174" s="9">
        <v>45829</v>
      </c>
    </row>
    <row r="175" spans="1:8">
      <c r="A175" s="9">
        <v>45831</v>
      </c>
      <c r="B175" t="s">
        <v>53</v>
      </c>
      <c r="C175">
        <v>1</v>
      </c>
      <c r="D175" s="10">
        <v>354500</v>
      </c>
      <c r="E175" s="10">
        <f t="shared" si="4"/>
        <v>0</v>
      </c>
      <c r="F175" s="11">
        <f t="shared" si="5"/>
        <v>0</v>
      </c>
      <c r="G175">
        <v>1</v>
      </c>
      <c r="H175" s="9">
        <v>45831</v>
      </c>
    </row>
    <row r="176" spans="1:8">
      <c r="A176" s="9">
        <v>45832</v>
      </c>
      <c r="B176" t="s">
        <v>54</v>
      </c>
      <c r="C176">
        <v>2</v>
      </c>
      <c r="D176" s="10">
        <v>354000</v>
      </c>
      <c r="E176" s="10">
        <f t="shared" si="4"/>
        <v>-500</v>
      </c>
      <c r="F176" s="11">
        <f t="shared" si="5"/>
        <v>-1.4104372355430183E-3</v>
      </c>
      <c r="G176">
        <v>1</v>
      </c>
      <c r="H176" s="9">
        <v>45832</v>
      </c>
    </row>
    <row r="177" spans="1:8">
      <c r="A177" s="9">
        <v>45833</v>
      </c>
      <c r="B177" t="s">
        <v>49</v>
      </c>
      <c r="C177">
        <v>3</v>
      </c>
      <c r="D177" s="10">
        <v>354000</v>
      </c>
      <c r="E177" s="10">
        <f t="shared" si="4"/>
        <v>0</v>
      </c>
      <c r="F177" s="11">
        <f t="shared" si="5"/>
        <v>0</v>
      </c>
      <c r="G177">
        <v>1</v>
      </c>
      <c r="H177" s="9">
        <v>45833</v>
      </c>
    </row>
    <row r="178" spans="1:8">
      <c r="A178" s="9">
        <v>45834</v>
      </c>
      <c r="B178" t="s">
        <v>50</v>
      </c>
      <c r="C178">
        <v>4</v>
      </c>
      <c r="D178" s="10">
        <v>354500</v>
      </c>
      <c r="E178" s="10">
        <f t="shared" si="4"/>
        <v>500</v>
      </c>
      <c r="F178" s="11">
        <f t="shared" si="5"/>
        <v>1.4124293785310734E-3</v>
      </c>
      <c r="G178">
        <v>1</v>
      </c>
      <c r="H178" s="9">
        <v>45834</v>
      </c>
    </row>
    <row r="179" spans="1:8">
      <c r="A179" s="9">
        <v>45835</v>
      </c>
      <c r="B179" t="s">
        <v>51</v>
      </c>
      <c r="C179">
        <v>5</v>
      </c>
      <c r="D179" s="10">
        <v>354500</v>
      </c>
      <c r="E179" s="10">
        <f t="shared" si="4"/>
        <v>0</v>
      </c>
      <c r="F179" s="11">
        <f t="shared" si="5"/>
        <v>0</v>
      </c>
      <c r="G179">
        <v>1</v>
      </c>
      <c r="H179" s="9">
        <v>45835</v>
      </c>
    </row>
    <row r="180" spans="1:8">
      <c r="A180" s="9">
        <v>45836</v>
      </c>
      <c r="B180" t="s">
        <v>52</v>
      </c>
      <c r="C180">
        <v>6</v>
      </c>
      <c r="D180" s="10">
        <v>354000</v>
      </c>
      <c r="E180" s="10">
        <f t="shared" si="4"/>
        <v>-500</v>
      </c>
      <c r="F180" s="11">
        <f t="shared" si="5"/>
        <v>-1.4104372355430183E-3</v>
      </c>
      <c r="G180">
        <v>1</v>
      </c>
      <c r="H180" s="9">
        <v>45836</v>
      </c>
    </row>
    <row r="181" spans="1:8">
      <c r="A181" s="9">
        <v>45837</v>
      </c>
      <c r="B181" t="s">
        <v>55</v>
      </c>
      <c r="C181">
        <v>7</v>
      </c>
      <c r="D181" s="10">
        <v>354000</v>
      </c>
      <c r="E181" s="10">
        <f t="shared" si="4"/>
        <v>0</v>
      </c>
      <c r="F181" s="11">
        <f t="shared" si="5"/>
        <v>0</v>
      </c>
      <c r="G181">
        <v>0</v>
      </c>
      <c r="H181" s="9">
        <v>45836</v>
      </c>
    </row>
    <row r="182" spans="1:8">
      <c r="A182" s="9">
        <v>45838</v>
      </c>
      <c r="B182" t="s">
        <v>53</v>
      </c>
      <c r="C182">
        <v>1</v>
      </c>
      <c r="D182" s="10">
        <v>355000</v>
      </c>
      <c r="E182" s="10">
        <f t="shared" si="4"/>
        <v>1000</v>
      </c>
      <c r="F182" s="11">
        <f t="shared" si="5"/>
        <v>2.8248587570621469E-3</v>
      </c>
      <c r="G182">
        <v>1</v>
      </c>
      <c r="H182" s="9">
        <v>45838</v>
      </c>
    </row>
    <row r="183" spans="1:8">
      <c r="A183" s="9">
        <v>45839</v>
      </c>
      <c r="B183" t="s">
        <v>54</v>
      </c>
      <c r="C183">
        <v>2</v>
      </c>
      <c r="D183" s="10">
        <v>365500</v>
      </c>
      <c r="E183" s="10">
        <f t="shared" si="4"/>
        <v>10500</v>
      </c>
      <c r="F183" s="11">
        <f t="shared" si="5"/>
        <v>2.9577464788732393E-2</v>
      </c>
      <c r="G183">
        <v>1</v>
      </c>
      <c r="H183" s="9">
        <v>45839</v>
      </c>
    </row>
    <row r="184" spans="1:8">
      <c r="A184" s="9">
        <v>45840</v>
      </c>
      <c r="B184" t="s">
        <v>49</v>
      </c>
      <c r="C184">
        <v>3</v>
      </c>
      <c r="D184" s="10">
        <v>357000</v>
      </c>
      <c r="E184" s="10">
        <f t="shared" si="4"/>
        <v>-8500</v>
      </c>
      <c r="F184" s="11">
        <f t="shared" si="5"/>
        <v>-2.3255813953488372E-2</v>
      </c>
      <c r="G184">
        <v>1</v>
      </c>
      <c r="H184" s="9">
        <v>45840</v>
      </c>
    </row>
    <row r="185" spans="1:8">
      <c r="A185" s="9">
        <v>45841</v>
      </c>
      <c r="B185" t="s">
        <v>50</v>
      </c>
      <c r="C185">
        <v>4</v>
      </c>
      <c r="D185" s="10">
        <v>358000</v>
      </c>
      <c r="E185" s="10">
        <f t="shared" si="4"/>
        <v>1000</v>
      </c>
      <c r="F185" s="11">
        <f t="shared" si="5"/>
        <v>2.8011204481792717E-3</v>
      </c>
      <c r="G185">
        <v>1</v>
      </c>
      <c r="H185" s="9">
        <v>45841</v>
      </c>
    </row>
    <row r="186" spans="1:8">
      <c r="A186" s="9">
        <v>45842</v>
      </c>
      <c r="B186" t="s">
        <v>51</v>
      </c>
      <c r="C186">
        <v>5</v>
      </c>
      <c r="D186" s="10">
        <v>358500</v>
      </c>
      <c r="E186" s="10">
        <f t="shared" si="4"/>
        <v>500</v>
      </c>
      <c r="F186" s="11">
        <f t="shared" si="5"/>
        <v>1.3966480446927375E-3</v>
      </c>
      <c r="G186">
        <v>1</v>
      </c>
      <c r="H186" s="9">
        <v>45842</v>
      </c>
    </row>
    <row r="187" spans="1:8">
      <c r="A187" s="9">
        <v>45843</v>
      </c>
      <c r="B187" t="s">
        <v>52</v>
      </c>
      <c r="C187">
        <v>6</v>
      </c>
      <c r="D187" s="10">
        <v>358500</v>
      </c>
      <c r="E187" s="10">
        <f t="shared" si="4"/>
        <v>0</v>
      </c>
      <c r="F187" s="11">
        <f t="shared" si="5"/>
        <v>0</v>
      </c>
      <c r="G187">
        <v>1</v>
      </c>
      <c r="H187" s="9">
        <v>45843</v>
      </c>
    </row>
    <row r="188" spans="1:8">
      <c r="A188" s="9">
        <v>45844</v>
      </c>
      <c r="B188" t="s">
        <v>55</v>
      </c>
      <c r="C188">
        <v>7</v>
      </c>
      <c r="D188" s="10">
        <v>358500</v>
      </c>
      <c r="E188" s="10">
        <f t="shared" si="4"/>
        <v>0</v>
      </c>
      <c r="F188" s="11">
        <f t="shared" si="5"/>
        <v>0</v>
      </c>
      <c r="G188">
        <v>0</v>
      </c>
      <c r="H188" s="9">
        <v>45843</v>
      </c>
    </row>
    <row r="189" spans="1:8">
      <c r="A189" s="9">
        <v>45845</v>
      </c>
      <c r="B189" t="s">
        <v>53</v>
      </c>
      <c r="C189">
        <v>1</v>
      </c>
      <c r="D189" s="10">
        <v>359000</v>
      </c>
      <c r="E189" s="10">
        <f t="shared" si="4"/>
        <v>500</v>
      </c>
      <c r="F189" s="11">
        <f t="shared" si="5"/>
        <v>1.3947001394700139E-3</v>
      </c>
      <c r="G189">
        <v>1</v>
      </c>
      <c r="H189" s="9">
        <v>45845</v>
      </c>
    </row>
    <row r="190" spans="1:8">
      <c r="A190" s="9">
        <v>45846</v>
      </c>
      <c r="B190" t="s">
        <v>54</v>
      </c>
      <c r="C190">
        <v>2</v>
      </c>
      <c r="D190" s="10">
        <v>360000</v>
      </c>
      <c r="E190" s="10">
        <f t="shared" si="4"/>
        <v>1000</v>
      </c>
      <c r="F190" s="11">
        <f t="shared" si="5"/>
        <v>2.7855153203342618E-3</v>
      </c>
      <c r="G190">
        <v>1</v>
      </c>
      <c r="H190" s="9">
        <v>45846</v>
      </c>
    </row>
    <row r="191" spans="1:8">
      <c r="A191" s="9">
        <v>45847</v>
      </c>
      <c r="B191" t="s">
        <v>49</v>
      </c>
      <c r="C191">
        <v>3</v>
      </c>
      <c r="D191" s="10">
        <v>360500</v>
      </c>
      <c r="E191" s="10">
        <f t="shared" si="4"/>
        <v>500</v>
      </c>
      <c r="F191" s="11">
        <f t="shared" si="5"/>
        <v>1.3888888888888889E-3</v>
      </c>
      <c r="G191">
        <v>1</v>
      </c>
      <c r="H191" s="9">
        <v>45847</v>
      </c>
    </row>
    <row r="192" spans="1:8">
      <c r="A192" s="9">
        <v>45848</v>
      </c>
      <c r="B192" t="s">
        <v>50</v>
      </c>
      <c r="C192">
        <v>4</v>
      </c>
      <c r="D192" s="10">
        <v>361000</v>
      </c>
      <c r="E192" s="10">
        <f t="shared" si="4"/>
        <v>500</v>
      </c>
      <c r="F192" s="11">
        <f t="shared" si="5"/>
        <v>1.3869625520110957E-3</v>
      </c>
      <c r="G192">
        <v>1</v>
      </c>
      <c r="H192" s="9">
        <v>45848</v>
      </c>
    </row>
    <row r="193" spans="1:8">
      <c r="A193" s="9">
        <v>45849</v>
      </c>
      <c r="B193" t="s">
        <v>51</v>
      </c>
      <c r="C193">
        <v>5</v>
      </c>
      <c r="D193" s="10">
        <v>362000</v>
      </c>
      <c r="E193" s="10">
        <f t="shared" si="4"/>
        <v>1000</v>
      </c>
      <c r="F193" s="11">
        <f t="shared" si="5"/>
        <v>2.7700831024930748E-3</v>
      </c>
      <c r="G193">
        <v>1</v>
      </c>
      <c r="H193" s="9">
        <v>45849</v>
      </c>
    </row>
    <row r="194" spans="1:8">
      <c r="A194" s="9">
        <v>45850</v>
      </c>
      <c r="B194" t="s">
        <v>52</v>
      </c>
      <c r="C194">
        <v>6</v>
      </c>
      <c r="D194" s="10">
        <v>362000</v>
      </c>
      <c r="E194" s="10">
        <f t="shared" si="4"/>
        <v>0</v>
      </c>
      <c r="F194" s="11">
        <f t="shared" si="5"/>
        <v>0</v>
      </c>
      <c r="G194">
        <v>1</v>
      </c>
      <c r="H194" s="9">
        <v>45850</v>
      </c>
    </row>
    <row r="195" spans="1:8">
      <c r="A195" s="9">
        <v>45851</v>
      </c>
      <c r="B195" t="s">
        <v>55</v>
      </c>
      <c r="C195">
        <v>7</v>
      </c>
      <c r="D195" s="10">
        <v>362000</v>
      </c>
      <c r="E195" s="10">
        <f t="shared" ref="E195:E258" si="6">D195-D194</f>
        <v>0</v>
      </c>
      <c r="F195" s="11">
        <f t="shared" ref="F195:F258" si="7">IFERROR(E195/D194,0)</f>
        <v>0</v>
      </c>
      <c r="G195">
        <v>0</v>
      </c>
      <c r="H195" s="9">
        <v>45850</v>
      </c>
    </row>
    <row r="196" spans="1:8">
      <c r="A196" s="9">
        <v>45852</v>
      </c>
      <c r="B196" t="s">
        <v>53</v>
      </c>
      <c r="C196">
        <v>1</v>
      </c>
      <c r="D196" s="10">
        <v>363000</v>
      </c>
      <c r="E196" s="10">
        <f t="shared" si="6"/>
        <v>1000</v>
      </c>
      <c r="F196" s="11">
        <f t="shared" si="7"/>
        <v>2.7624309392265192E-3</v>
      </c>
      <c r="G196">
        <v>1</v>
      </c>
      <c r="H196" s="9">
        <v>45852</v>
      </c>
    </row>
    <row r="197" spans="1:8">
      <c r="A197" s="9">
        <v>45853</v>
      </c>
      <c r="B197" t="s">
        <v>54</v>
      </c>
      <c r="C197">
        <v>2</v>
      </c>
      <c r="D197" s="10">
        <v>370000</v>
      </c>
      <c r="E197" s="10">
        <f t="shared" si="6"/>
        <v>7000</v>
      </c>
      <c r="F197" s="11">
        <f t="shared" si="7"/>
        <v>1.928374655647383E-2</v>
      </c>
      <c r="G197">
        <v>1</v>
      </c>
      <c r="H197" s="9">
        <v>45853</v>
      </c>
    </row>
    <row r="198" spans="1:8">
      <c r="A198" s="9">
        <v>45854</v>
      </c>
      <c r="B198" t="s">
        <v>49</v>
      </c>
      <c r="C198">
        <v>3</v>
      </c>
      <c r="D198" s="10">
        <v>363500</v>
      </c>
      <c r="E198" s="10">
        <f t="shared" si="6"/>
        <v>-6500</v>
      </c>
      <c r="F198" s="11">
        <f t="shared" si="7"/>
        <v>-1.7567567567567569E-2</v>
      </c>
      <c r="G198">
        <v>1</v>
      </c>
      <c r="H198" s="9">
        <v>45854</v>
      </c>
    </row>
    <row r="199" spans="1:8">
      <c r="A199" s="9">
        <v>45855</v>
      </c>
      <c r="B199" t="s">
        <v>50</v>
      </c>
      <c r="C199">
        <v>4</v>
      </c>
      <c r="D199" s="10">
        <v>364000</v>
      </c>
      <c r="E199" s="10">
        <f t="shared" si="6"/>
        <v>500</v>
      </c>
      <c r="F199" s="11">
        <f t="shared" si="7"/>
        <v>1.375515818431912E-3</v>
      </c>
      <c r="G199">
        <v>1</v>
      </c>
      <c r="H199" s="9">
        <v>45855</v>
      </c>
    </row>
    <row r="200" spans="1:8">
      <c r="A200" s="9">
        <v>45856</v>
      </c>
      <c r="B200" t="s">
        <v>51</v>
      </c>
      <c r="C200">
        <v>5</v>
      </c>
      <c r="D200" s="10">
        <v>365000</v>
      </c>
      <c r="E200" s="10">
        <f t="shared" si="6"/>
        <v>1000</v>
      </c>
      <c r="F200" s="11">
        <f t="shared" si="7"/>
        <v>2.7472527472527475E-3</v>
      </c>
      <c r="G200">
        <v>1</v>
      </c>
      <c r="H200" s="9">
        <v>45856</v>
      </c>
    </row>
    <row r="201" spans="1:8">
      <c r="A201" s="9">
        <v>45857</v>
      </c>
      <c r="B201" t="s">
        <v>52</v>
      </c>
      <c r="C201">
        <v>6</v>
      </c>
      <c r="D201" s="10">
        <v>365500</v>
      </c>
      <c r="E201" s="10">
        <f t="shared" si="6"/>
        <v>500</v>
      </c>
      <c r="F201" s="11">
        <f t="shared" si="7"/>
        <v>1.3698630136986301E-3</v>
      </c>
      <c r="G201">
        <v>1</v>
      </c>
      <c r="H201" s="9">
        <v>45857</v>
      </c>
    </row>
    <row r="202" spans="1:8">
      <c r="A202" s="9">
        <v>45858</v>
      </c>
      <c r="B202" t="s">
        <v>55</v>
      </c>
      <c r="C202">
        <v>7</v>
      </c>
      <c r="D202" s="10">
        <v>365500</v>
      </c>
      <c r="E202" s="10">
        <f t="shared" si="6"/>
        <v>0</v>
      </c>
      <c r="F202" s="11">
        <f t="shared" si="7"/>
        <v>0</v>
      </c>
      <c r="G202">
        <v>0</v>
      </c>
      <c r="H202" s="9">
        <v>45857</v>
      </c>
    </row>
    <row r="203" spans="1:8">
      <c r="A203" s="9">
        <v>45859</v>
      </c>
      <c r="B203" t="s">
        <v>53</v>
      </c>
      <c r="C203">
        <v>1</v>
      </c>
      <c r="D203" s="10">
        <v>365500</v>
      </c>
      <c r="E203" s="10">
        <f t="shared" si="6"/>
        <v>0</v>
      </c>
      <c r="F203" s="11">
        <f t="shared" si="7"/>
        <v>0</v>
      </c>
      <c r="G203">
        <v>1</v>
      </c>
      <c r="H203" s="9">
        <v>45859</v>
      </c>
    </row>
    <row r="204" spans="1:8">
      <c r="A204" s="9">
        <v>45860</v>
      </c>
      <c r="B204" t="s">
        <v>54</v>
      </c>
      <c r="C204">
        <v>2</v>
      </c>
      <c r="D204" s="10">
        <v>365500</v>
      </c>
      <c r="E204" s="10">
        <f t="shared" si="6"/>
        <v>0</v>
      </c>
      <c r="F204" s="11">
        <f t="shared" si="7"/>
        <v>0</v>
      </c>
      <c r="G204">
        <v>1</v>
      </c>
      <c r="H204" s="9">
        <v>45860</v>
      </c>
    </row>
    <row r="205" spans="1:8">
      <c r="A205" s="9">
        <v>45861</v>
      </c>
      <c r="B205" t="s">
        <v>49</v>
      </c>
      <c r="C205">
        <v>3</v>
      </c>
      <c r="D205" s="10">
        <v>366000</v>
      </c>
      <c r="E205" s="10">
        <f t="shared" si="6"/>
        <v>500</v>
      </c>
      <c r="F205" s="11">
        <f t="shared" si="7"/>
        <v>1.3679890560875513E-3</v>
      </c>
      <c r="G205">
        <v>1</v>
      </c>
      <c r="H205" s="9">
        <v>45861</v>
      </c>
    </row>
    <row r="206" spans="1:8">
      <c r="A206" s="9">
        <v>45862</v>
      </c>
      <c r="B206" t="s">
        <v>50</v>
      </c>
      <c r="C206">
        <v>4</v>
      </c>
      <c r="D206" s="10">
        <v>367000</v>
      </c>
      <c r="E206" s="10">
        <f t="shared" si="6"/>
        <v>1000</v>
      </c>
      <c r="F206" s="11">
        <f t="shared" si="7"/>
        <v>2.7322404371584699E-3</v>
      </c>
      <c r="G206">
        <v>1</v>
      </c>
      <c r="H206" s="9">
        <v>45862</v>
      </c>
    </row>
    <row r="207" spans="1:8">
      <c r="A207" s="9">
        <v>45863</v>
      </c>
      <c r="B207" t="s">
        <v>51</v>
      </c>
      <c r="C207">
        <v>5</v>
      </c>
      <c r="D207" s="10">
        <v>366500</v>
      </c>
      <c r="E207" s="10">
        <f t="shared" si="6"/>
        <v>-500</v>
      </c>
      <c r="F207" s="11">
        <f t="shared" si="7"/>
        <v>-1.3623978201634877E-3</v>
      </c>
      <c r="G207">
        <v>1</v>
      </c>
      <c r="H207" s="9">
        <v>45863</v>
      </c>
    </row>
    <row r="208" spans="1:8">
      <c r="A208" s="9">
        <v>45864</v>
      </c>
      <c r="B208" t="s">
        <v>52</v>
      </c>
      <c r="C208">
        <v>6</v>
      </c>
      <c r="D208" s="10">
        <v>366000</v>
      </c>
      <c r="E208" s="10">
        <f t="shared" si="6"/>
        <v>-500</v>
      </c>
      <c r="F208" s="11">
        <f t="shared" si="7"/>
        <v>-1.364256480218281E-3</v>
      </c>
      <c r="G208">
        <v>1</v>
      </c>
      <c r="H208" s="9">
        <v>45864</v>
      </c>
    </row>
    <row r="209" spans="1:8">
      <c r="A209" s="9">
        <v>45865</v>
      </c>
      <c r="B209" t="s">
        <v>55</v>
      </c>
      <c r="C209">
        <v>7</v>
      </c>
      <c r="D209" s="10">
        <v>366000</v>
      </c>
      <c r="E209" s="10">
        <f t="shared" si="6"/>
        <v>0</v>
      </c>
      <c r="F209" s="11">
        <f t="shared" si="7"/>
        <v>0</v>
      </c>
      <c r="G209">
        <v>0</v>
      </c>
      <c r="H209" s="9">
        <v>45864</v>
      </c>
    </row>
    <row r="210" spans="1:8">
      <c r="A210" s="9">
        <v>45866</v>
      </c>
      <c r="B210" t="s">
        <v>53</v>
      </c>
      <c r="C210">
        <v>1</v>
      </c>
      <c r="D210" s="10">
        <v>366500</v>
      </c>
      <c r="E210" s="10">
        <f t="shared" si="6"/>
        <v>500</v>
      </c>
      <c r="F210" s="11">
        <f t="shared" si="7"/>
        <v>1.366120218579235E-3</v>
      </c>
      <c r="G210">
        <v>1</v>
      </c>
      <c r="H210" s="9">
        <v>45866</v>
      </c>
    </row>
    <row r="211" spans="1:8">
      <c r="A211" s="9">
        <v>45867</v>
      </c>
      <c r="B211" t="s">
        <v>54</v>
      </c>
      <c r="C211">
        <v>2</v>
      </c>
      <c r="D211" s="10">
        <v>366500</v>
      </c>
      <c r="E211" s="10">
        <f t="shared" si="6"/>
        <v>0</v>
      </c>
      <c r="F211" s="11">
        <f t="shared" si="7"/>
        <v>0</v>
      </c>
      <c r="G211">
        <v>1</v>
      </c>
      <c r="H211" s="9">
        <v>45867</v>
      </c>
    </row>
    <row r="212" spans="1:8">
      <c r="A212" s="9">
        <v>45868</v>
      </c>
      <c r="B212" t="s">
        <v>49</v>
      </c>
      <c r="C212">
        <v>3</v>
      </c>
      <c r="D212" s="10">
        <v>367000</v>
      </c>
      <c r="E212" s="10">
        <f t="shared" si="6"/>
        <v>500</v>
      </c>
      <c r="F212" s="11">
        <f t="shared" si="7"/>
        <v>1.364256480218281E-3</v>
      </c>
      <c r="G212">
        <v>1</v>
      </c>
      <c r="H212" s="9">
        <v>45868</v>
      </c>
    </row>
    <row r="213" spans="1:8">
      <c r="A213" s="9">
        <v>45869</v>
      </c>
      <c r="B213" t="s">
        <v>50</v>
      </c>
      <c r="C213">
        <v>4</v>
      </c>
      <c r="D213" s="10">
        <v>367500</v>
      </c>
      <c r="E213" s="10">
        <f t="shared" si="6"/>
        <v>500</v>
      </c>
      <c r="F213" s="11">
        <f t="shared" si="7"/>
        <v>1.3623978201634877E-3</v>
      </c>
      <c r="G213">
        <v>1</v>
      </c>
      <c r="H213" s="9">
        <v>45869</v>
      </c>
    </row>
    <row r="214" spans="1:8">
      <c r="A214" s="9">
        <v>45870</v>
      </c>
      <c r="B214" t="s">
        <v>51</v>
      </c>
      <c r="C214">
        <v>5</v>
      </c>
      <c r="D214" s="10">
        <v>378000</v>
      </c>
      <c r="E214" s="10">
        <f t="shared" si="6"/>
        <v>10500</v>
      </c>
      <c r="F214" s="11">
        <f t="shared" si="7"/>
        <v>2.8571428571428571E-2</v>
      </c>
      <c r="G214">
        <v>1</v>
      </c>
      <c r="H214" s="9">
        <v>45870</v>
      </c>
    </row>
    <row r="215" spans="1:8">
      <c r="A215" s="9">
        <v>45871</v>
      </c>
      <c r="B215" t="s">
        <v>52</v>
      </c>
      <c r="C215">
        <v>6</v>
      </c>
      <c r="D215" s="10">
        <v>370000</v>
      </c>
      <c r="E215" s="10">
        <f t="shared" si="6"/>
        <v>-8000</v>
      </c>
      <c r="F215" s="11">
        <f t="shared" si="7"/>
        <v>-2.1164021164021163E-2</v>
      </c>
      <c r="G215">
        <v>1</v>
      </c>
      <c r="H215" s="9">
        <v>45871</v>
      </c>
    </row>
    <row r="216" spans="1:8">
      <c r="A216" s="9">
        <v>45872</v>
      </c>
      <c r="B216" t="s">
        <v>55</v>
      </c>
      <c r="C216">
        <v>7</v>
      </c>
      <c r="D216" s="10">
        <v>370000</v>
      </c>
      <c r="E216" s="10">
        <f t="shared" si="6"/>
        <v>0</v>
      </c>
      <c r="F216" s="11">
        <f t="shared" si="7"/>
        <v>0</v>
      </c>
      <c r="G216">
        <v>0</v>
      </c>
      <c r="H216" s="9">
        <v>45871</v>
      </c>
    </row>
    <row r="217" spans="1:8">
      <c r="A217" s="9">
        <v>45873</v>
      </c>
      <c r="B217" t="s">
        <v>53</v>
      </c>
      <c r="C217">
        <v>1</v>
      </c>
      <c r="D217" s="10">
        <v>370500</v>
      </c>
      <c r="E217" s="10">
        <f t="shared" si="6"/>
        <v>500</v>
      </c>
      <c r="F217" s="11">
        <f t="shared" si="7"/>
        <v>1.3513513513513514E-3</v>
      </c>
      <c r="G217">
        <v>1</v>
      </c>
      <c r="H217" s="9">
        <v>45873</v>
      </c>
    </row>
    <row r="218" spans="1:8">
      <c r="A218" s="9">
        <v>45874</v>
      </c>
      <c r="B218" t="s">
        <v>54</v>
      </c>
      <c r="C218">
        <v>2</v>
      </c>
      <c r="D218" s="10">
        <v>370500</v>
      </c>
      <c r="E218" s="10">
        <f t="shared" si="6"/>
        <v>0</v>
      </c>
      <c r="F218" s="11">
        <f t="shared" si="7"/>
        <v>0</v>
      </c>
      <c r="G218">
        <v>1</v>
      </c>
      <c r="H218" s="9">
        <v>45874</v>
      </c>
    </row>
    <row r="219" spans="1:8">
      <c r="A219" s="9">
        <v>45875</v>
      </c>
      <c r="B219" t="s">
        <v>49</v>
      </c>
      <c r="C219">
        <v>3</v>
      </c>
      <c r="D219" s="10">
        <v>371500</v>
      </c>
      <c r="E219" s="10">
        <f t="shared" si="6"/>
        <v>1000</v>
      </c>
      <c r="F219" s="11">
        <f t="shared" si="7"/>
        <v>2.6990553306342779E-3</v>
      </c>
      <c r="G219">
        <v>1</v>
      </c>
      <c r="H219" s="9">
        <v>45875</v>
      </c>
    </row>
    <row r="220" spans="1:8">
      <c r="A220" s="9">
        <v>45876</v>
      </c>
      <c r="B220" t="s">
        <v>50</v>
      </c>
      <c r="C220">
        <v>4</v>
      </c>
      <c r="D220" s="10">
        <v>372500</v>
      </c>
      <c r="E220" s="10">
        <f t="shared" si="6"/>
        <v>1000</v>
      </c>
      <c r="F220" s="11">
        <f t="shared" si="7"/>
        <v>2.6917900403768506E-3</v>
      </c>
      <c r="G220">
        <v>1</v>
      </c>
      <c r="H220" s="9">
        <v>45876</v>
      </c>
    </row>
    <row r="221" spans="1:8">
      <c r="A221" s="9">
        <v>45877</v>
      </c>
      <c r="B221" t="s">
        <v>51</v>
      </c>
      <c r="C221">
        <v>5</v>
      </c>
      <c r="D221" s="10">
        <v>372500</v>
      </c>
      <c r="E221" s="10">
        <f t="shared" si="6"/>
        <v>0</v>
      </c>
      <c r="F221" s="11">
        <f t="shared" si="7"/>
        <v>0</v>
      </c>
      <c r="G221">
        <v>1</v>
      </c>
      <c r="H221" s="9">
        <v>45877</v>
      </c>
    </row>
    <row r="222" spans="1:8">
      <c r="A222" s="9">
        <v>45878</v>
      </c>
      <c r="B222" t="s">
        <v>52</v>
      </c>
      <c r="C222">
        <v>6</v>
      </c>
      <c r="D222" s="10">
        <v>373500</v>
      </c>
      <c r="E222" s="10">
        <f t="shared" si="6"/>
        <v>1000</v>
      </c>
      <c r="F222" s="11">
        <f t="shared" si="7"/>
        <v>2.6845637583892616E-3</v>
      </c>
      <c r="G222">
        <v>1</v>
      </c>
      <c r="H222" s="9">
        <v>45878</v>
      </c>
    </row>
    <row r="223" spans="1:8">
      <c r="A223" s="9">
        <v>45879</v>
      </c>
      <c r="B223" t="s">
        <v>55</v>
      </c>
      <c r="C223">
        <v>7</v>
      </c>
      <c r="D223" s="10">
        <v>373500</v>
      </c>
      <c r="E223" s="10">
        <f t="shared" si="6"/>
        <v>0</v>
      </c>
      <c r="F223" s="11">
        <f t="shared" si="7"/>
        <v>0</v>
      </c>
      <c r="G223">
        <v>0</v>
      </c>
      <c r="H223" s="9">
        <v>45878</v>
      </c>
    </row>
    <row r="224" spans="1:8">
      <c r="A224" s="9">
        <v>45880</v>
      </c>
      <c r="B224" t="s">
        <v>53</v>
      </c>
      <c r="C224">
        <v>1</v>
      </c>
      <c r="D224" s="10">
        <v>374000</v>
      </c>
      <c r="E224" s="10">
        <f t="shared" si="6"/>
        <v>500</v>
      </c>
      <c r="F224" s="11">
        <f t="shared" si="7"/>
        <v>1.3386880856760374E-3</v>
      </c>
      <c r="G224">
        <v>1</v>
      </c>
      <c r="H224" s="9">
        <v>45880</v>
      </c>
    </row>
    <row r="225" spans="1:8">
      <c r="A225" s="9">
        <v>45881</v>
      </c>
      <c r="B225" t="s">
        <v>54</v>
      </c>
      <c r="C225">
        <v>2</v>
      </c>
      <c r="D225" s="10">
        <v>375000</v>
      </c>
      <c r="E225" s="10">
        <f t="shared" si="6"/>
        <v>1000</v>
      </c>
      <c r="F225" s="11">
        <f t="shared" si="7"/>
        <v>2.6737967914438501E-3</v>
      </c>
      <c r="G225">
        <v>1</v>
      </c>
      <c r="H225" s="9">
        <v>45881</v>
      </c>
    </row>
    <row r="226" spans="1:8">
      <c r="A226" s="9">
        <v>45882</v>
      </c>
      <c r="B226" t="s">
        <v>49</v>
      </c>
      <c r="C226">
        <v>3</v>
      </c>
      <c r="D226" s="10">
        <v>375500</v>
      </c>
      <c r="E226" s="10">
        <f t="shared" si="6"/>
        <v>500</v>
      </c>
      <c r="F226" s="11">
        <f t="shared" si="7"/>
        <v>1.3333333333333333E-3</v>
      </c>
      <c r="G226">
        <v>1</v>
      </c>
      <c r="H226" s="9">
        <v>45882</v>
      </c>
    </row>
    <row r="227" spans="1:8">
      <c r="A227" s="9">
        <v>45883</v>
      </c>
      <c r="B227" t="s">
        <v>50</v>
      </c>
      <c r="C227">
        <v>4</v>
      </c>
      <c r="D227" s="10">
        <v>376500</v>
      </c>
      <c r="E227" s="10">
        <f t="shared" si="6"/>
        <v>1000</v>
      </c>
      <c r="F227" s="11">
        <f t="shared" si="7"/>
        <v>2.6631158455392811E-3</v>
      </c>
      <c r="G227">
        <v>1</v>
      </c>
      <c r="H227" s="9">
        <v>45883</v>
      </c>
    </row>
    <row r="228" spans="1:8">
      <c r="A228" s="9">
        <v>45884</v>
      </c>
      <c r="B228" t="s">
        <v>51</v>
      </c>
      <c r="C228">
        <v>5</v>
      </c>
      <c r="D228" s="10">
        <v>383000</v>
      </c>
      <c r="E228" s="10">
        <f t="shared" si="6"/>
        <v>6500</v>
      </c>
      <c r="F228" s="11">
        <f t="shared" si="7"/>
        <v>1.7264276228419653E-2</v>
      </c>
      <c r="G228">
        <v>1</v>
      </c>
      <c r="H228" s="9">
        <v>45884</v>
      </c>
    </row>
    <row r="229" spans="1:8">
      <c r="A229" s="9">
        <v>45885</v>
      </c>
      <c r="B229" t="s">
        <v>52</v>
      </c>
      <c r="C229">
        <v>6</v>
      </c>
      <c r="D229" s="10">
        <v>376500</v>
      </c>
      <c r="E229" s="10">
        <f t="shared" si="6"/>
        <v>-6500</v>
      </c>
      <c r="F229" s="11">
        <f t="shared" si="7"/>
        <v>-1.6971279373368148E-2</v>
      </c>
      <c r="G229">
        <v>1</v>
      </c>
      <c r="H229" s="9">
        <v>45885</v>
      </c>
    </row>
    <row r="230" spans="1:8">
      <c r="A230" s="9">
        <v>45886</v>
      </c>
      <c r="B230" t="s">
        <v>55</v>
      </c>
      <c r="C230">
        <v>7</v>
      </c>
      <c r="D230" s="10">
        <v>376500</v>
      </c>
      <c r="E230" s="10">
        <f t="shared" si="6"/>
        <v>0</v>
      </c>
      <c r="F230" s="11">
        <f t="shared" si="7"/>
        <v>0</v>
      </c>
      <c r="G230">
        <v>0</v>
      </c>
      <c r="H230" s="9">
        <v>45885</v>
      </c>
    </row>
    <row r="231" spans="1:8">
      <c r="A231" s="9">
        <v>45887</v>
      </c>
      <c r="B231" t="s">
        <v>53</v>
      </c>
      <c r="C231">
        <v>1</v>
      </c>
      <c r="D231" s="10">
        <v>376500</v>
      </c>
      <c r="E231" s="10">
        <f t="shared" si="6"/>
        <v>0</v>
      </c>
      <c r="F231" s="11">
        <f t="shared" si="7"/>
        <v>0</v>
      </c>
      <c r="G231">
        <v>1</v>
      </c>
      <c r="H231" s="9">
        <v>45887</v>
      </c>
    </row>
    <row r="232" spans="1:8">
      <c r="A232" s="9">
        <v>45888</v>
      </c>
      <c r="B232" t="s">
        <v>54</v>
      </c>
      <c r="C232">
        <v>2</v>
      </c>
      <c r="D232" s="10">
        <v>376500</v>
      </c>
      <c r="E232" s="10">
        <f t="shared" si="6"/>
        <v>0</v>
      </c>
      <c r="F232" s="11">
        <f t="shared" si="7"/>
        <v>0</v>
      </c>
      <c r="G232">
        <v>1</v>
      </c>
      <c r="H232" s="9">
        <v>45888</v>
      </c>
    </row>
    <row r="233" spans="1:8">
      <c r="A233" s="9">
        <v>45889</v>
      </c>
      <c r="B233" t="s">
        <v>49</v>
      </c>
      <c r="C233">
        <v>3</v>
      </c>
      <c r="D233" s="10">
        <v>376000</v>
      </c>
      <c r="E233" s="10">
        <f t="shared" si="6"/>
        <v>-500</v>
      </c>
      <c r="F233" s="11">
        <f t="shared" si="7"/>
        <v>-1.3280212483399733E-3</v>
      </c>
      <c r="G233">
        <v>1</v>
      </c>
      <c r="H233" s="9">
        <v>45889</v>
      </c>
    </row>
    <row r="234" spans="1:8">
      <c r="A234" s="9">
        <v>45890</v>
      </c>
      <c r="B234" t="s">
        <v>50</v>
      </c>
      <c r="C234">
        <v>4</v>
      </c>
      <c r="D234" s="10">
        <v>376000</v>
      </c>
      <c r="E234" s="10">
        <f t="shared" si="6"/>
        <v>0</v>
      </c>
      <c r="F234" s="11">
        <f t="shared" si="7"/>
        <v>0</v>
      </c>
      <c r="G234">
        <v>1</v>
      </c>
      <c r="H234" s="9">
        <v>45890</v>
      </c>
    </row>
    <row r="235" spans="1:8">
      <c r="A235" s="9">
        <v>45891</v>
      </c>
      <c r="B235" t="s">
        <v>51</v>
      </c>
      <c r="C235">
        <v>5</v>
      </c>
      <c r="D235" s="10">
        <v>375500</v>
      </c>
      <c r="E235" s="10">
        <f t="shared" si="6"/>
        <v>-500</v>
      </c>
      <c r="F235" s="11">
        <f t="shared" si="7"/>
        <v>-1.3297872340425532E-3</v>
      </c>
      <c r="G235">
        <v>1</v>
      </c>
      <c r="H235" s="9">
        <v>45891</v>
      </c>
    </row>
    <row r="236" spans="1:8">
      <c r="A236" s="9">
        <v>45892</v>
      </c>
      <c r="B236" t="s">
        <v>52</v>
      </c>
      <c r="C236">
        <v>6</v>
      </c>
      <c r="D236" s="10">
        <v>376500</v>
      </c>
      <c r="E236" s="10">
        <f t="shared" si="6"/>
        <v>1000</v>
      </c>
      <c r="F236" s="11">
        <f t="shared" si="7"/>
        <v>2.6631158455392811E-3</v>
      </c>
      <c r="G236">
        <v>1</v>
      </c>
      <c r="H236" s="9">
        <v>45892</v>
      </c>
    </row>
    <row r="237" spans="1:8">
      <c r="A237" s="9">
        <v>45893</v>
      </c>
      <c r="B237" t="s">
        <v>55</v>
      </c>
      <c r="C237">
        <v>7</v>
      </c>
      <c r="D237" s="10">
        <v>376500</v>
      </c>
      <c r="E237" s="10">
        <f t="shared" si="6"/>
        <v>0</v>
      </c>
      <c r="F237" s="11">
        <f t="shared" si="7"/>
        <v>0</v>
      </c>
      <c r="G237">
        <v>0</v>
      </c>
      <c r="H237" s="9">
        <v>45892</v>
      </c>
    </row>
    <row r="238" spans="1:8">
      <c r="A238" s="9">
        <v>45894</v>
      </c>
      <c r="B238" t="s">
        <v>53</v>
      </c>
      <c r="C238">
        <v>1</v>
      </c>
      <c r="D238" s="10">
        <v>377000</v>
      </c>
      <c r="E238" s="10">
        <f t="shared" si="6"/>
        <v>500</v>
      </c>
      <c r="F238" s="11">
        <f t="shared" si="7"/>
        <v>1.3280212483399733E-3</v>
      </c>
      <c r="G238">
        <v>1</v>
      </c>
      <c r="H238" s="9">
        <v>45894</v>
      </c>
    </row>
    <row r="239" spans="1:8">
      <c r="A239" s="9">
        <v>45895</v>
      </c>
      <c r="B239" t="s">
        <v>54</v>
      </c>
      <c r="C239">
        <v>2</v>
      </c>
      <c r="D239" s="10">
        <v>378000</v>
      </c>
      <c r="E239" s="10">
        <f t="shared" si="6"/>
        <v>1000</v>
      </c>
      <c r="F239" s="11">
        <f t="shared" si="7"/>
        <v>2.6525198938992041E-3</v>
      </c>
      <c r="G239">
        <v>1</v>
      </c>
      <c r="H239" s="9">
        <v>45895</v>
      </c>
    </row>
    <row r="240" spans="1:8">
      <c r="A240" s="9">
        <v>45896</v>
      </c>
      <c r="B240" t="s">
        <v>49</v>
      </c>
      <c r="C240">
        <v>3</v>
      </c>
      <c r="D240" s="10">
        <v>378000</v>
      </c>
      <c r="E240" s="10">
        <f t="shared" si="6"/>
        <v>0</v>
      </c>
      <c r="F240" s="11">
        <f t="shared" si="7"/>
        <v>0</v>
      </c>
      <c r="G240">
        <v>1</v>
      </c>
      <c r="H240" s="9">
        <v>45896</v>
      </c>
    </row>
    <row r="241" spans="1:8">
      <c r="A241" s="9">
        <v>45897</v>
      </c>
      <c r="B241" t="s">
        <v>50</v>
      </c>
      <c r="C241">
        <v>4</v>
      </c>
      <c r="D241" s="10">
        <v>378000</v>
      </c>
      <c r="E241" s="10">
        <f t="shared" si="6"/>
        <v>0</v>
      </c>
      <c r="F241" s="11">
        <f t="shared" si="7"/>
        <v>0</v>
      </c>
      <c r="G241">
        <v>1</v>
      </c>
      <c r="H241" s="9">
        <v>45897</v>
      </c>
    </row>
    <row r="242" spans="1:8">
      <c r="A242" s="9">
        <v>45898</v>
      </c>
      <c r="B242" t="s">
        <v>51</v>
      </c>
      <c r="C242">
        <v>5</v>
      </c>
      <c r="D242" s="10">
        <v>378500</v>
      </c>
      <c r="E242" s="10">
        <f t="shared" si="6"/>
        <v>500</v>
      </c>
      <c r="F242" s="11">
        <f t="shared" si="7"/>
        <v>1.3227513227513227E-3</v>
      </c>
      <c r="G242">
        <v>1</v>
      </c>
      <c r="H242" s="9">
        <v>45898</v>
      </c>
    </row>
    <row r="243" spans="1:8">
      <c r="A243" s="9">
        <v>45899</v>
      </c>
      <c r="B243" t="s">
        <v>52</v>
      </c>
      <c r="C243">
        <v>6</v>
      </c>
      <c r="D243" s="10">
        <v>378000</v>
      </c>
      <c r="E243" s="10">
        <f t="shared" si="6"/>
        <v>-500</v>
      </c>
      <c r="F243" s="11">
        <f t="shared" si="7"/>
        <v>-1.321003963011889E-3</v>
      </c>
      <c r="G243">
        <v>1</v>
      </c>
      <c r="H243" s="9">
        <v>45899</v>
      </c>
    </row>
    <row r="244" spans="1:8">
      <c r="A244" s="9">
        <v>45900</v>
      </c>
      <c r="B244" t="s">
        <v>55</v>
      </c>
      <c r="C244">
        <v>7</v>
      </c>
      <c r="D244" s="10">
        <v>378000</v>
      </c>
      <c r="E244" s="10">
        <f t="shared" si="6"/>
        <v>0</v>
      </c>
      <c r="F244" s="11">
        <f t="shared" si="7"/>
        <v>0</v>
      </c>
      <c r="G244">
        <v>0</v>
      </c>
      <c r="H244" s="9">
        <v>45899</v>
      </c>
    </row>
    <row r="245" spans="1:8">
      <c r="A245" s="9">
        <v>45901</v>
      </c>
      <c r="B245" t="s">
        <v>53</v>
      </c>
      <c r="C245">
        <v>1</v>
      </c>
      <c r="D245" s="10">
        <v>388500</v>
      </c>
      <c r="E245" s="10">
        <f t="shared" si="6"/>
        <v>10500</v>
      </c>
      <c r="F245" s="11">
        <f t="shared" si="7"/>
        <v>2.7777777777777776E-2</v>
      </c>
      <c r="G245">
        <v>1</v>
      </c>
      <c r="H245" s="9">
        <v>45901</v>
      </c>
    </row>
    <row r="246" spans="1:8">
      <c r="A246" s="9">
        <v>45902</v>
      </c>
      <c r="B246" t="s">
        <v>54</v>
      </c>
      <c r="C246">
        <v>2</v>
      </c>
      <c r="D246" s="10">
        <v>380000</v>
      </c>
      <c r="E246" s="10">
        <f t="shared" si="6"/>
        <v>-8500</v>
      </c>
      <c r="F246" s="11">
        <f t="shared" si="7"/>
        <v>-2.1879021879021878E-2</v>
      </c>
      <c r="G246">
        <v>1</v>
      </c>
      <c r="H246" s="9">
        <v>45902</v>
      </c>
    </row>
    <row r="247" spans="1:8">
      <c r="A247" s="9">
        <v>45903</v>
      </c>
      <c r="B247" t="s">
        <v>49</v>
      </c>
      <c r="C247">
        <v>3</v>
      </c>
      <c r="D247" s="10">
        <v>381500</v>
      </c>
      <c r="E247" s="10">
        <f t="shared" si="6"/>
        <v>1500</v>
      </c>
      <c r="F247" s="11">
        <f t="shared" si="7"/>
        <v>3.9473684210526317E-3</v>
      </c>
      <c r="G247">
        <v>1</v>
      </c>
      <c r="H247" s="9">
        <v>45903</v>
      </c>
    </row>
    <row r="248" spans="1:8">
      <c r="A248" s="9">
        <v>45904</v>
      </c>
      <c r="B248" t="s">
        <v>50</v>
      </c>
      <c r="C248">
        <v>4</v>
      </c>
      <c r="D248" s="10">
        <v>382000</v>
      </c>
      <c r="E248" s="10">
        <f t="shared" si="6"/>
        <v>500</v>
      </c>
      <c r="F248" s="11">
        <f t="shared" si="7"/>
        <v>1.3106159895150721E-3</v>
      </c>
      <c r="G248">
        <v>1</v>
      </c>
      <c r="H248" s="9">
        <v>45904</v>
      </c>
    </row>
    <row r="249" spans="1:8">
      <c r="A249" s="9">
        <v>45905</v>
      </c>
      <c r="B249" t="s">
        <v>51</v>
      </c>
      <c r="C249">
        <v>5</v>
      </c>
      <c r="D249" s="10">
        <v>382000</v>
      </c>
      <c r="E249" s="10">
        <f t="shared" si="6"/>
        <v>0</v>
      </c>
      <c r="F249" s="11">
        <f t="shared" si="7"/>
        <v>0</v>
      </c>
      <c r="G249">
        <v>1</v>
      </c>
      <c r="H249" s="9">
        <v>45905</v>
      </c>
    </row>
    <row r="250" spans="1:8">
      <c r="A250" s="9">
        <v>45906</v>
      </c>
      <c r="B250" t="s">
        <v>52</v>
      </c>
      <c r="C250">
        <v>6</v>
      </c>
      <c r="D250" s="10">
        <v>382500</v>
      </c>
      <c r="E250" s="10">
        <f t="shared" si="6"/>
        <v>500</v>
      </c>
      <c r="F250" s="11">
        <f t="shared" si="7"/>
        <v>1.3089005235602095E-3</v>
      </c>
      <c r="G250">
        <v>1</v>
      </c>
      <c r="H250" s="9">
        <v>45906</v>
      </c>
    </row>
    <row r="251" spans="1:8">
      <c r="A251" s="9">
        <v>45907</v>
      </c>
      <c r="B251" t="s">
        <v>55</v>
      </c>
      <c r="C251">
        <v>7</v>
      </c>
      <c r="D251" s="10">
        <v>382500</v>
      </c>
      <c r="E251" s="10">
        <f t="shared" si="6"/>
        <v>0</v>
      </c>
      <c r="F251" s="11">
        <f t="shared" si="7"/>
        <v>0</v>
      </c>
      <c r="G251">
        <v>0</v>
      </c>
      <c r="H251" s="9">
        <v>45906</v>
      </c>
    </row>
    <row r="252" spans="1:8">
      <c r="A252" s="9">
        <v>45908</v>
      </c>
      <c r="B252" t="s">
        <v>53</v>
      </c>
      <c r="C252">
        <v>1</v>
      </c>
      <c r="D252" s="10">
        <v>383500</v>
      </c>
      <c r="E252" s="10">
        <f t="shared" si="6"/>
        <v>1000</v>
      </c>
      <c r="F252" s="11">
        <f t="shared" si="7"/>
        <v>2.6143790849673201E-3</v>
      </c>
      <c r="G252">
        <v>1</v>
      </c>
      <c r="H252" s="9">
        <v>45908</v>
      </c>
    </row>
    <row r="253" spans="1:8">
      <c r="A253" s="9">
        <v>45909</v>
      </c>
      <c r="B253" t="s">
        <v>54</v>
      </c>
      <c r="C253">
        <v>2</v>
      </c>
      <c r="D253" s="10">
        <v>384500</v>
      </c>
      <c r="E253" s="10">
        <f t="shared" si="6"/>
        <v>1000</v>
      </c>
      <c r="F253" s="11">
        <f t="shared" si="7"/>
        <v>2.6075619295958278E-3</v>
      </c>
      <c r="G253">
        <v>1</v>
      </c>
      <c r="H253" s="9">
        <v>45909</v>
      </c>
    </row>
    <row r="254" spans="1:8">
      <c r="A254" s="9">
        <v>45910</v>
      </c>
      <c r="B254" t="s">
        <v>49</v>
      </c>
      <c r="C254">
        <v>3</v>
      </c>
      <c r="D254" s="10">
        <v>385500</v>
      </c>
      <c r="E254" s="10">
        <f t="shared" si="6"/>
        <v>1000</v>
      </c>
      <c r="F254" s="11">
        <f t="shared" si="7"/>
        <v>2.6007802340702211E-3</v>
      </c>
      <c r="G254">
        <v>1</v>
      </c>
      <c r="H254" s="9">
        <v>45910</v>
      </c>
    </row>
    <row r="255" spans="1:8">
      <c r="A255" s="9">
        <v>45911</v>
      </c>
      <c r="B255" t="s">
        <v>50</v>
      </c>
      <c r="C255">
        <v>4</v>
      </c>
      <c r="D255" s="10">
        <v>385500</v>
      </c>
      <c r="E255" s="10">
        <f t="shared" si="6"/>
        <v>0</v>
      </c>
      <c r="F255" s="11">
        <f t="shared" si="7"/>
        <v>0</v>
      </c>
      <c r="G255">
        <v>1</v>
      </c>
      <c r="H255" s="9">
        <v>45911</v>
      </c>
    </row>
    <row r="256" spans="1:8">
      <c r="A256" s="9">
        <v>45912</v>
      </c>
      <c r="B256" t="s">
        <v>51</v>
      </c>
      <c r="C256">
        <v>5</v>
      </c>
      <c r="D256" s="10">
        <v>386500</v>
      </c>
      <c r="E256" s="10">
        <f t="shared" si="6"/>
        <v>1000</v>
      </c>
      <c r="F256" s="11">
        <f t="shared" si="7"/>
        <v>2.5940337224383916E-3</v>
      </c>
      <c r="G256">
        <v>1</v>
      </c>
      <c r="H256" s="9">
        <v>45912</v>
      </c>
    </row>
    <row r="257" spans="1:8">
      <c r="A257" s="9">
        <v>45913</v>
      </c>
      <c r="B257" t="s">
        <v>52</v>
      </c>
      <c r="C257">
        <v>6</v>
      </c>
      <c r="D257" s="10">
        <v>387000</v>
      </c>
      <c r="E257" s="10">
        <f t="shared" si="6"/>
        <v>500</v>
      </c>
      <c r="F257" s="11">
        <f t="shared" si="7"/>
        <v>1.29366106080207E-3</v>
      </c>
      <c r="G257">
        <v>1</v>
      </c>
      <c r="H257" s="9">
        <v>45913</v>
      </c>
    </row>
    <row r="258" spans="1:8">
      <c r="A258" s="9">
        <v>45914</v>
      </c>
      <c r="B258" t="s">
        <v>55</v>
      </c>
      <c r="C258">
        <v>7</v>
      </c>
      <c r="D258" s="10">
        <v>387000</v>
      </c>
      <c r="E258" s="10">
        <f t="shared" si="6"/>
        <v>0</v>
      </c>
      <c r="F258" s="11">
        <f t="shared" si="7"/>
        <v>0</v>
      </c>
      <c r="G258">
        <v>0</v>
      </c>
      <c r="H258" s="9">
        <v>45913</v>
      </c>
    </row>
    <row r="259" spans="1:8">
      <c r="A259" s="9">
        <v>45915</v>
      </c>
      <c r="B259" t="s">
        <v>53</v>
      </c>
      <c r="C259">
        <v>1</v>
      </c>
      <c r="D259" s="10">
        <v>393000</v>
      </c>
      <c r="E259" s="10">
        <f t="shared" ref="E259:E322" si="8">D259-D258</f>
        <v>6000</v>
      </c>
      <c r="F259" s="11">
        <f t="shared" ref="F259:F322" si="9">IFERROR(E259/D258,0)</f>
        <v>1.5503875968992248E-2</v>
      </c>
      <c r="G259">
        <v>1</v>
      </c>
      <c r="H259" s="9">
        <v>45915</v>
      </c>
    </row>
    <row r="260" spans="1:8">
      <c r="A260" s="9">
        <v>45916</v>
      </c>
      <c r="B260" t="s">
        <v>54</v>
      </c>
      <c r="C260">
        <v>2</v>
      </c>
      <c r="D260" s="10">
        <v>388000</v>
      </c>
      <c r="E260" s="10">
        <f t="shared" si="8"/>
        <v>-5000</v>
      </c>
      <c r="F260" s="11">
        <f t="shared" si="9"/>
        <v>-1.2722646310432569E-2</v>
      </c>
      <c r="G260">
        <v>1</v>
      </c>
      <c r="H260" s="9">
        <v>45916</v>
      </c>
    </row>
    <row r="261" spans="1:8">
      <c r="A261" s="9">
        <v>45917</v>
      </c>
      <c r="B261" t="s">
        <v>49</v>
      </c>
      <c r="C261">
        <v>3</v>
      </c>
      <c r="D261" s="10">
        <v>388000</v>
      </c>
      <c r="E261" s="10">
        <f t="shared" si="8"/>
        <v>0</v>
      </c>
      <c r="F261" s="11">
        <f t="shared" si="9"/>
        <v>0</v>
      </c>
      <c r="G261">
        <v>1</v>
      </c>
      <c r="H261" s="9">
        <v>45917</v>
      </c>
    </row>
    <row r="262" spans="1:8">
      <c r="A262" s="9">
        <v>45918</v>
      </c>
      <c r="B262" t="s">
        <v>50</v>
      </c>
      <c r="C262">
        <v>4</v>
      </c>
      <c r="D262" s="10">
        <v>388500</v>
      </c>
      <c r="E262" s="10">
        <f t="shared" si="8"/>
        <v>500</v>
      </c>
      <c r="F262" s="11">
        <f t="shared" si="9"/>
        <v>1.288659793814433E-3</v>
      </c>
      <c r="G262">
        <v>1</v>
      </c>
      <c r="H262" s="9">
        <v>45918</v>
      </c>
    </row>
    <row r="263" spans="1:8">
      <c r="A263" s="9">
        <v>45919</v>
      </c>
      <c r="B263" t="s">
        <v>51</v>
      </c>
      <c r="C263">
        <v>5</v>
      </c>
      <c r="D263" s="10">
        <v>389000</v>
      </c>
      <c r="E263" s="10">
        <f t="shared" si="8"/>
        <v>500</v>
      </c>
      <c r="F263" s="11">
        <f t="shared" si="9"/>
        <v>1.287001287001287E-3</v>
      </c>
      <c r="G263">
        <v>1</v>
      </c>
      <c r="H263" s="9">
        <v>45919</v>
      </c>
    </row>
    <row r="264" spans="1:8">
      <c r="A264" s="9">
        <v>45920</v>
      </c>
      <c r="B264" t="s">
        <v>52</v>
      </c>
      <c r="C264">
        <v>6</v>
      </c>
      <c r="D264" s="10">
        <v>388500</v>
      </c>
      <c r="E264" s="10">
        <f t="shared" si="8"/>
        <v>-500</v>
      </c>
      <c r="F264" s="11">
        <f t="shared" si="9"/>
        <v>-1.2853470437017994E-3</v>
      </c>
      <c r="G264">
        <v>1</v>
      </c>
      <c r="H264" s="9">
        <v>45920</v>
      </c>
    </row>
    <row r="265" spans="1:8">
      <c r="A265" s="9">
        <v>45921</v>
      </c>
      <c r="B265" t="s">
        <v>55</v>
      </c>
      <c r="C265">
        <v>7</v>
      </c>
      <c r="D265" s="10">
        <v>388500</v>
      </c>
      <c r="E265" s="10">
        <f t="shared" si="8"/>
        <v>0</v>
      </c>
      <c r="F265" s="11">
        <f t="shared" si="9"/>
        <v>0</v>
      </c>
      <c r="G265">
        <v>0</v>
      </c>
      <c r="H265" s="9">
        <v>45920</v>
      </c>
    </row>
    <row r="266" spans="1:8">
      <c r="A266" s="9">
        <v>45922</v>
      </c>
      <c r="B266" t="s">
        <v>53</v>
      </c>
      <c r="C266">
        <v>1</v>
      </c>
      <c r="D266" s="10">
        <v>389000</v>
      </c>
      <c r="E266" s="10">
        <f t="shared" si="8"/>
        <v>500</v>
      </c>
      <c r="F266" s="11">
        <f t="shared" si="9"/>
        <v>1.287001287001287E-3</v>
      </c>
      <c r="G266">
        <v>1</v>
      </c>
      <c r="H266" s="9">
        <v>45922</v>
      </c>
    </row>
    <row r="267" spans="1:8">
      <c r="A267" s="9">
        <v>45923</v>
      </c>
      <c r="B267" t="s">
        <v>54</v>
      </c>
      <c r="C267">
        <v>2</v>
      </c>
      <c r="D267" s="10">
        <v>389500</v>
      </c>
      <c r="E267" s="10">
        <f t="shared" si="8"/>
        <v>500</v>
      </c>
      <c r="F267" s="11">
        <f t="shared" si="9"/>
        <v>1.2853470437017994E-3</v>
      </c>
      <c r="G267">
        <v>1</v>
      </c>
      <c r="H267" s="9">
        <v>45923</v>
      </c>
    </row>
    <row r="268" spans="1:8">
      <c r="A268" s="9">
        <v>45924</v>
      </c>
      <c r="B268" t="s">
        <v>49</v>
      </c>
      <c r="C268">
        <v>3</v>
      </c>
      <c r="D268" s="10">
        <v>389500</v>
      </c>
      <c r="E268" s="10">
        <f t="shared" si="8"/>
        <v>0</v>
      </c>
      <c r="F268" s="11">
        <f t="shared" si="9"/>
        <v>0</v>
      </c>
      <c r="G268">
        <v>1</v>
      </c>
      <c r="H268" s="9">
        <v>45924</v>
      </c>
    </row>
    <row r="269" spans="1:8">
      <c r="A269" s="9">
        <v>45925</v>
      </c>
      <c r="B269" t="s">
        <v>50</v>
      </c>
      <c r="C269">
        <v>4</v>
      </c>
      <c r="D269" s="10">
        <v>389500</v>
      </c>
      <c r="E269" s="10">
        <f t="shared" si="8"/>
        <v>0</v>
      </c>
      <c r="F269" s="11">
        <f t="shared" si="9"/>
        <v>0</v>
      </c>
      <c r="G269">
        <v>1</v>
      </c>
      <c r="H269" s="9">
        <v>45925</v>
      </c>
    </row>
    <row r="270" spans="1:8">
      <c r="A270" s="9">
        <v>45926</v>
      </c>
      <c r="B270" t="s">
        <v>51</v>
      </c>
      <c r="C270">
        <v>5</v>
      </c>
      <c r="D270" s="10">
        <v>389000</v>
      </c>
      <c r="E270" s="10">
        <f t="shared" si="8"/>
        <v>-500</v>
      </c>
      <c r="F270" s="11">
        <f t="shared" si="9"/>
        <v>-1.2836970474967907E-3</v>
      </c>
      <c r="G270">
        <v>1</v>
      </c>
      <c r="H270" s="9">
        <v>45926</v>
      </c>
    </row>
    <row r="271" spans="1:8">
      <c r="A271" s="9">
        <v>45927</v>
      </c>
      <c r="B271" t="s">
        <v>52</v>
      </c>
      <c r="C271">
        <v>6</v>
      </c>
      <c r="D271" s="10">
        <v>389500</v>
      </c>
      <c r="E271" s="10">
        <f t="shared" si="8"/>
        <v>500</v>
      </c>
      <c r="F271" s="11">
        <f t="shared" si="9"/>
        <v>1.2853470437017994E-3</v>
      </c>
      <c r="G271">
        <v>1</v>
      </c>
      <c r="H271" s="9">
        <v>45927</v>
      </c>
    </row>
    <row r="272" spans="1:8">
      <c r="A272" s="9">
        <v>45928</v>
      </c>
      <c r="B272" t="s">
        <v>55</v>
      </c>
      <c r="C272">
        <v>7</v>
      </c>
      <c r="D272" s="10">
        <v>389500</v>
      </c>
      <c r="E272" s="10">
        <f t="shared" si="8"/>
        <v>0</v>
      </c>
      <c r="F272" s="11">
        <f t="shared" si="9"/>
        <v>0</v>
      </c>
      <c r="G272">
        <v>0</v>
      </c>
      <c r="H272" s="9">
        <v>45927</v>
      </c>
    </row>
    <row r="273" spans="1:8">
      <c r="A273" s="9">
        <v>45929</v>
      </c>
      <c r="B273" t="s">
        <v>53</v>
      </c>
      <c r="C273">
        <v>1</v>
      </c>
      <c r="D273" s="10">
        <v>389000</v>
      </c>
      <c r="E273" s="10">
        <f t="shared" si="8"/>
        <v>-500</v>
      </c>
      <c r="F273" s="11">
        <f t="shared" si="9"/>
        <v>-1.2836970474967907E-3</v>
      </c>
      <c r="G273">
        <v>1</v>
      </c>
      <c r="H273" s="9">
        <v>45929</v>
      </c>
    </row>
    <row r="274" spans="1:8">
      <c r="A274" s="9">
        <v>45930</v>
      </c>
      <c r="B274" t="s">
        <v>54</v>
      </c>
      <c r="C274">
        <v>2</v>
      </c>
      <c r="D274" s="10">
        <v>389000</v>
      </c>
      <c r="E274" s="10">
        <f t="shared" si="8"/>
        <v>0</v>
      </c>
      <c r="F274" s="11">
        <f t="shared" si="9"/>
        <v>0</v>
      </c>
      <c r="G274">
        <v>1</v>
      </c>
      <c r="H274" s="9">
        <v>45930</v>
      </c>
    </row>
    <row r="275" spans="1:8">
      <c r="A275" s="9">
        <v>45931</v>
      </c>
      <c r="B275" t="s">
        <v>49</v>
      </c>
      <c r="C275">
        <v>3</v>
      </c>
      <c r="D275" s="10">
        <v>398000</v>
      </c>
      <c r="E275" s="10">
        <f t="shared" si="8"/>
        <v>9000</v>
      </c>
      <c r="F275" s="11">
        <f t="shared" si="9"/>
        <v>2.313624678663239E-2</v>
      </c>
      <c r="G275">
        <v>1</v>
      </c>
      <c r="H275" s="9">
        <v>45931</v>
      </c>
    </row>
    <row r="276" spans="1:8">
      <c r="A276" s="9">
        <v>45932</v>
      </c>
      <c r="B276" t="s">
        <v>50</v>
      </c>
      <c r="C276">
        <v>4</v>
      </c>
      <c r="D276" s="10">
        <v>391000</v>
      </c>
      <c r="E276" s="10">
        <f t="shared" si="8"/>
        <v>-7000</v>
      </c>
      <c r="F276" s="11">
        <f t="shared" si="9"/>
        <v>-1.7587939698492462E-2</v>
      </c>
      <c r="G276">
        <v>1</v>
      </c>
      <c r="H276" s="9">
        <v>45932</v>
      </c>
    </row>
    <row r="277" spans="1:8">
      <c r="A277" s="9">
        <v>45933</v>
      </c>
      <c r="B277" t="s">
        <v>51</v>
      </c>
      <c r="C277">
        <v>5</v>
      </c>
      <c r="D277" s="10">
        <v>391500</v>
      </c>
      <c r="E277" s="10">
        <f t="shared" si="8"/>
        <v>500</v>
      </c>
      <c r="F277" s="11">
        <f t="shared" si="9"/>
        <v>1.2787723785166241E-3</v>
      </c>
      <c r="G277">
        <v>1</v>
      </c>
      <c r="H277" s="9">
        <v>45933</v>
      </c>
    </row>
    <row r="278" spans="1:8">
      <c r="A278" s="9">
        <v>45934</v>
      </c>
      <c r="B278" t="s">
        <v>52</v>
      </c>
      <c r="C278">
        <v>6</v>
      </c>
      <c r="D278" s="10">
        <v>391500</v>
      </c>
      <c r="E278" s="10">
        <f t="shared" si="8"/>
        <v>0</v>
      </c>
      <c r="F278" s="11">
        <f t="shared" si="9"/>
        <v>0</v>
      </c>
      <c r="G278">
        <v>1</v>
      </c>
      <c r="H278" s="9">
        <v>45934</v>
      </c>
    </row>
    <row r="279" spans="1:8">
      <c r="A279" s="9">
        <v>45935</v>
      </c>
      <c r="B279" t="s">
        <v>55</v>
      </c>
      <c r="C279">
        <v>7</v>
      </c>
      <c r="D279" s="10">
        <v>391500</v>
      </c>
      <c r="E279" s="10">
        <f t="shared" si="8"/>
        <v>0</v>
      </c>
      <c r="F279" s="11">
        <f t="shared" si="9"/>
        <v>0</v>
      </c>
      <c r="G279">
        <v>0</v>
      </c>
      <c r="H279" s="9">
        <v>45934</v>
      </c>
    </row>
    <row r="280" spans="1:8">
      <c r="A280" s="9">
        <v>45936</v>
      </c>
      <c r="B280" t="s">
        <v>53</v>
      </c>
      <c r="C280">
        <v>1</v>
      </c>
      <c r="D280" s="10">
        <v>393000</v>
      </c>
      <c r="E280" s="10">
        <f t="shared" si="8"/>
        <v>1500</v>
      </c>
      <c r="F280" s="11">
        <f t="shared" si="9"/>
        <v>3.8314176245210726E-3</v>
      </c>
      <c r="G280">
        <v>1</v>
      </c>
      <c r="H280" s="9">
        <v>45936</v>
      </c>
    </row>
    <row r="281" spans="1:8">
      <c r="A281" s="9">
        <v>45937</v>
      </c>
      <c r="B281" t="s">
        <v>54</v>
      </c>
      <c r="C281">
        <v>2</v>
      </c>
      <c r="D281" s="10">
        <v>393500</v>
      </c>
      <c r="E281" s="10">
        <f t="shared" si="8"/>
        <v>500</v>
      </c>
      <c r="F281" s="11">
        <f t="shared" si="9"/>
        <v>1.2722646310432571E-3</v>
      </c>
      <c r="G281">
        <v>1</v>
      </c>
      <c r="H281" s="9">
        <v>45937</v>
      </c>
    </row>
    <row r="282" spans="1:8">
      <c r="A282" s="9">
        <v>45938</v>
      </c>
      <c r="B282" t="s">
        <v>49</v>
      </c>
      <c r="C282">
        <v>3</v>
      </c>
      <c r="D282" s="10">
        <v>395000</v>
      </c>
      <c r="E282" s="10">
        <f t="shared" si="8"/>
        <v>1500</v>
      </c>
      <c r="F282" s="11">
        <f t="shared" si="9"/>
        <v>3.8119440914866584E-3</v>
      </c>
      <c r="G282">
        <v>1</v>
      </c>
      <c r="H282" s="9">
        <v>45938</v>
      </c>
    </row>
    <row r="283" spans="1:8">
      <c r="A283" s="9">
        <v>45939</v>
      </c>
      <c r="B283" t="s">
        <v>50</v>
      </c>
      <c r="C283">
        <v>4</v>
      </c>
      <c r="D283" s="10">
        <v>395000</v>
      </c>
      <c r="E283" s="10">
        <f t="shared" si="8"/>
        <v>0</v>
      </c>
      <c r="F283" s="11">
        <f t="shared" si="9"/>
        <v>0</v>
      </c>
      <c r="G283">
        <v>1</v>
      </c>
      <c r="H283" s="9">
        <v>45939</v>
      </c>
    </row>
    <row r="284" spans="1:8">
      <c r="A284" s="9">
        <v>45940</v>
      </c>
      <c r="B284" t="s">
        <v>51</v>
      </c>
      <c r="C284">
        <v>5</v>
      </c>
      <c r="D284" s="10">
        <v>396000</v>
      </c>
      <c r="E284" s="10">
        <f t="shared" si="8"/>
        <v>1000</v>
      </c>
      <c r="F284" s="11">
        <f t="shared" si="9"/>
        <v>2.5316455696202532E-3</v>
      </c>
      <c r="G284">
        <v>1</v>
      </c>
      <c r="H284" s="9">
        <v>45940</v>
      </c>
    </row>
    <row r="285" spans="1:8">
      <c r="A285" s="9">
        <v>45941</v>
      </c>
      <c r="B285" t="s">
        <v>52</v>
      </c>
      <c r="C285">
        <v>6</v>
      </c>
      <c r="D285" s="10">
        <v>397000</v>
      </c>
      <c r="E285" s="10">
        <f t="shared" si="8"/>
        <v>1000</v>
      </c>
      <c r="F285" s="11">
        <f t="shared" si="9"/>
        <v>2.5252525252525255E-3</v>
      </c>
      <c r="G285">
        <v>1</v>
      </c>
      <c r="H285" s="9">
        <v>45941</v>
      </c>
    </row>
    <row r="286" spans="1:8">
      <c r="A286" s="9">
        <v>45942</v>
      </c>
      <c r="B286" t="s">
        <v>55</v>
      </c>
      <c r="C286">
        <v>7</v>
      </c>
      <c r="D286" s="10">
        <v>397000</v>
      </c>
      <c r="E286" s="10">
        <f t="shared" si="8"/>
        <v>0</v>
      </c>
      <c r="F286" s="11">
        <f t="shared" si="9"/>
        <v>0</v>
      </c>
      <c r="G286">
        <v>0</v>
      </c>
      <c r="H286" s="9">
        <v>45941</v>
      </c>
    </row>
    <row r="287" spans="1:8">
      <c r="A287" s="9">
        <v>45943</v>
      </c>
      <c r="B287" t="s">
        <v>53</v>
      </c>
      <c r="C287">
        <v>1</v>
      </c>
      <c r="D287" s="10">
        <v>396500</v>
      </c>
      <c r="E287" s="10">
        <f t="shared" si="8"/>
        <v>-500</v>
      </c>
      <c r="F287" s="11">
        <f t="shared" si="9"/>
        <v>-1.2594458438287153E-3</v>
      </c>
      <c r="G287">
        <v>1</v>
      </c>
      <c r="H287" s="9">
        <v>45943</v>
      </c>
    </row>
    <row r="288" spans="1:8">
      <c r="A288" s="9">
        <v>45944</v>
      </c>
      <c r="B288" t="s">
        <v>54</v>
      </c>
      <c r="C288">
        <v>2</v>
      </c>
      <c r="D288" s="10">
        <v>397000</v>
      </c>
      <c r="E288" s="10">
        <f t="shared" si="8"/>
        <v>500</v>
      </c>
      <c r="F288" s="11">
        <f t="shared" si="9"/>
        <v>1.2610340479192938E-3</v>
      </c>
      <c r="G288">
        <v>1</v>
      </c>
      <c r="H288" s="9">
        <v>45944</v>
      </c>
    </row>
    <row r="289" spans="1:8">
      <c r="A289" s="9">
        <v>45945</v>
      </c>
      <c r="B289" t="s">
        <v>49</v>
      </c>
      <c r="C289">
        <v>3</v>
      </c>
      <c r="D289" s="10">
        <v>404000</v>
      </c>
      <c r="E289" s="10">
        <f t="shared" si="8"/>
        <v>7000</v>
      </c>
      <c r="F289" s="11">
        <f t="shared" si="9"/>
        <v>1.7632241813602016E-2</v>
      </c>
      <c r="G289">
        <v>1</v>
      </c>
      <c r="H289" s="9">
        <v>45945</v>
      </c>
    </row>
    <row r="290" spans="1:8">
      <c r="A290" s="9">
        <v>45946</v>
      </c>
      <c r="B290" t="s">
        <v>50</v>
      </c>
      <c r="C290">
        <v>4</v>
      </c>
      <c r="D290" s="10">
        <v>397500</v>
      </c>
      <c r="E290" s="10">
        <f t="shared" si="8"/>
        <v>-6500</v>
      </c>
      <c r="F290" s="11">
        <f t="shared" si="9"/>
        <v>-1.608910891089109E-2</v>
      </c>
      <c r="G290">
        <v>1</v>
      </c>
      <c r="H290" s="9">
        <v>45946</v>
      </c>
    </row>
    <row r="291" spans="1:8">
      <c r="A291" s="9">
        <v>45947</v>
      </c>
      <c r="B291" t="s">
        <v>51</v>
      </c>
      <c r="C291">
        <v>5</v>
      </c>
      <c r="D291" s="10">
        <v>398000</v>
      </c>
      <c r="E291" s="10">
        <f t="shared" si="8"/>
        <v>500</v>
      </c>
      <c r="F291" s="11">
        <f t="shared" si="9"/>
        <v>1.2578616352201257E-3</v>
      </c>
      <c r="G291">
        <v>1</v>
      </c>
      <c r="H291" s="9">
        <v>45947</v>
      </c>
    </row>
    <row r="292" spans="1:8">
      <c r="A292" s="9">
        <v>45948</v>
      </c>
      <c r="B292" t="s">
        <v>52</v>
      </c>
      <c r="C292">
        <v>6</v>
      </c>
      <c r="D292" s="10">
        <v>399000</v>
      </c>
      <c r="E292" s="10">
        <f t="shared" si="8"/>
        <v>1000</v>
      </c>
      <c r="F292" s="11">
        <f t="shared" si="9"/>
        <v>2.5125628140703518E-3</v>
      </c>
      <c r="G292">
        <v>1</v>
      </c>
      <c r="H292" s="9">
        <v>45948</v>
      </c>
    </row>
    <row r="293" spans="1:8">
      <c r="A293" s="9">
        <v>45949</v>
      </c>
      <c r="B293" t="s">
        <v>55</v>
      </c>
      <c r="C293">
        <v>7</v>
      </c>
      <c r="D293" s="10">
        <v>399000</v>
      </c>
      <c r="E293" s="10">
        <f t="shared" si="8"/>
        <v>0</v>
      </c>
      <c r="F293" s="11">
        <f t="shared" si="9"/>
        <v>0</v>
      </c>
      <c r="G293">
        <v>0</v>
      </c>
      <c r="H293" s="9">
        <v>45948</v>
      </c>
    </row>
    <row r="294" spans="1:8">
      <c r="A294" s="9">
        <v>45950</v>
      </c>
      <c r="B294" t="s">
        <v>53</v>
      </c>
      <c r="C294">
        <v>1</v>
      </c>
      <c r="D294" s="10">
        <v>398500</v>
      </c>
      <c r="E294" s="10">
        <f t="shared" si="8"/>
        <v>-500</v>
      </c>
      <c r="F294" s="11">
        <f t="shared" si="9"/>
        <v>-1.2531328320802004E-3</v>
      </c>
      <c r="G294">
        <v>1</v>
      </c>
      <c r="H294" s="9">
        <v>45950</v>
      </c>
    </row>
    <row r="295" spans="1:8">
      <c r="A295" s="9">
        <v>45951</v>
      </c>
      <c r="B295" t="s">
        <v>54</v>
      </c>
      <c r="C295">
        <v>2</v>
      </c>
      <c r="D295" s="10">
        <v>399000</v>
      </c>
      <c r="E295" s="10">
        <f t="shared" si="8"/>
        <v>500</v>
      </c>
      <c r="F295" s="11">
        <f t="shared" si="9"/>
        <v>1.2547051442910915E-3</v>
      </c>
      <c r="G295">
        <v>1</v>
      </c>
      <c r="H295" s="9">
        <v>45951</v>
      </c>
    </row>
    <row r="296" spans="1:8">
      <c r="A296" s="9">
        <v>45952</v>
      </c>
      <c r="B296" t="s">
        <v>49</v>
      </c>
      <c r="C296">
        <v>3</v>
      </c>
      <c r="D296" s="10">
        <v>399500</v>
      </c>
      <c r="E296" s="10">
        <f t="shared" si="8"/>
        <v>500</v>
      </c>
      <c r="F296" s="11">
        <f t="shared" si="9"/>
        <v>1.2531328320802004E-3</v>
      </c>
      <c r="G296">
        <v>1</v>
      </c>
      <c r="H296" s="9">
        <v>45952</v>
      </c>
    </row>
    <row r="297" spans="1:8">
      <c r="A297" s="9">
        <v>45953</v>
      </c>
      <c r="B297" t="s">
        <v>50</v>
      </c>
      <c r="C297">
        <v>4</v>
      </c>
      <c r="D297" s="10">
        <v>399000</v>
      </c>
      <c r="E297" s="10">
        <f t="shared" si="8"/>
        <v>-500</v>
      </c>
      <c r="F297" s="11">
        <f t="shared" si="9"/>
        <v>-1.2515644555694619E-3</v>
      </c>
      <c r="G297">
        <v>1</v>
      </c>
      <c r="H297" s="9">
        <v>45953</v>
      </c>
    </row>
    <row r="298" spans="1:8">
      <c r="A298" s="9">
        <v>45954</v>
      </c>
      <c r="B298" t="s">
        <v>51</v>
      </c>
      <c r="C298">
        <v>5</v>
      </c>
      <c r="D298" s="10">
        <v>398500</v>
      </c>
      <c r="E298" s="10">
        <f t="shared" si="8"/>
        <v>-500</v>
      </c>
      <c r="F298" s="11">
        <f t="shared" si="9"/>
        <v>-1.2531328320802004E-3</v>
      </c>
      <c r="G298">
        <v>1</v>
      </c>
      <c r="H298" s="9">
        <v>45954</v>
      </c>
    </row>
    <row r="299" spans="1:8">
      <c r="A299" s="9">
        <v>45955</v>
      </c>
      <c r="B299" t="s">
        <v>52</v>
      </c>
      <c r="C299">
        <v>6</v>
      </c>
      <c r="D299" s="10">
        <v>399000</v>
      </c>
      <c r="E299" s="10">
        <f t="shared" si="8"/>
        <v>500</v>
      </c>
      <c r="F299" s="11">
        <f t="shared" si="9"/>
        <v>1.2547051442910915E-3</v>
      </c>
      <c r="G299">
        <v>1</v>
      </c>
      <c r="H299" s="9">
        <v>45955</v>
      </c>
    </row>
    <row r="300" spans="1:8">
      <c r="A300" s="9">
        <v>45956</v>
      </c>
      <c r="B300" t="s">
        <v>55</v>
      </c>
      <c r="C300">
        <v>7</v>
      </c>
      <c r="D300" s="10">
        <v>399000</v>
      </c>
      <c r="E300" s="10">
        <f t="shared" si="8"/>
        <v>0</v>
      </c>
      <c r="F300" s="11">
        <f t="shared" si="9"/>
        <v>0</v>
      </c>
      <c r="G300">
        <v>0</v>
      </c>
      <c r="H300" s="9">
        <v>45955</v>
      </c>
    </row>
    <row r="301" spans="1:8">
      <c r="A301" s="9">
        <v>45957</v>
      </c>
      <c r="B301" t="s">
        <v>53</v>
      </c>
      <c r="C301">
        <v>1</v>
      </c>
      <c r="D301" s="10">
        <v>399000</v>
      </c>
      <c r="E301" s="10">
        <f t="shared" si="8"/>
        <v>0</v>
      </c>
      <c r="F301" s="11">
        <f t="shared" si="9"/>
        <v>0</v>
      </c>
      <c r="G301">
        <v>1</v>
      </c>
      <c r="H301" s="9">
        <v>45957</v>
      </c>
    </row>
    <row r="302" spans="1:8">
      <c r="A302" s="9">
        <v>45958</v>
      </c>
      <c r="B302" t="s">
        <v>54</v>
      </c>
      <c r="C302">
        <v>2</v>
      </c>
      <c r="D302" s="10">
        <v>399000</v>
      </c>
      <c r="E302" s="10">
        <f t="shared" si="8"/>
        <v>0</v>
      </c>
      <c r="F302" s="11">
        <f t="shared" si="9"/>
        <v>0</v>
      </c>
      <c r="G302">
        <v>1</v>
      </c>
      <c r="H302" s="9">
        <v>45958</v>
      </c>
    </row>
    <row r="303" spans="1:8">
      <c r="A303" s="9">
        <v>45959</v>
      </c>
      <c r="B303" t="s">
        <v>49</v>
      </c>
      <c r="C303">
        <v>3</v>
      </c>
      <c r="D303" s="10">
        <v>399000</v>
      </c>
      <c r="E303" s="10">
        <f t="shared" si="8"/>
        <v>0</v>
      </c>
      <c r="F303" s="11">
        <f t="shared" si="9"/>
        <v>0</v>
      </c>
      <c r="G303">
        <v>1</v>
      </c>
      <c r="H303" s="9">
        <v>45959</v>
      </c>
    </row>
    <row r="304" spans="1:8">
      <c r="A304" s="9">
        <v>45960</v>
      </c>
      <c r="B304" t="s">
        <v>50</v>
      </c>
      <c r="C304">
        <v>4</v>
      </c>
      <c r="D304" s="10">
        <v>399000</v>
      </c>
      <c r="E304" s="10">
        <f t="shared" si="8"/>
        <v>0</v>
      </c>
      <c r="F304" s="11">
        <f t="shared" si="9"/>
        <v>0</v>
      </c>
      <c r="G304">
        <v>1</v>
      </c>
      <c r="H304" s="9">
        <v>45960</v>
      </c>
    </row>
    <row r="305" spans="1:8">
      <c r="A305" s="9">
        <v>45961</v>
      </c>
      <c r="B305" t="s">
        <v>51</v>
      </c>
      <c r="C305">
        <v>5</v>
      </c>
      <c r="D305" s="10">
        <v>399500</v>
      </c>
      <c r="E305" s="10">
        <f t="shared" si="8"/>
        <v>500</v>
      </c>
      <c r="F305" s="11">
        <f t="shared" si="9"/>
        <v>1.2531328320802004E-3</v>
      </c>
      <c r="G305">
        <v>1</v>
      </c>
      <c r="H305" s="9">
        <v>45961</v>
      </c>
    </row>
    <row r="306" spans="1:8">
      <c r="A306" s="9">
        <v>45962</v>
      </c>
      <c r="B306" t="s">
        <v>52</v>
      </c>
      <c r="C306">
        <v>6</v>
      </c>
      <c r="D306" s="10">
        <v>408500</v>
      </c>
      <c r="E306" s="10">
        <f t="shared" si="8"/>
        <v>9000</v>
      </c>
      <c r="F306" s="11">
        <f t="shared" si="9"/>
        <v>2.2528160200250311E-2</v>
      </c>
      <c r="G306">
        <v>1</v>
      </c>
      <c r="H306" s="9">
        <v>45962</v>
      </c>
    </row>
    <row r="307" spans="1:8">
      <c r="A307" s="9">
        <v>45963</v>
      </c>
      <c r="B307" t="s">
        <v>55</v>
      </c>
      <c r="C307">
        <v>7</v>
      </c>
      <c r="D307" s="10">
        <v>408500</v>
      </c>
      <c r="E307" s="10">
        <f t="shared" si="8"/>
        <v>0</v>
      </c>
      <c r="F307" s="11">
        <f t="shared" si="9"/>
        <v>0</v>
      </c>
      <c r="G307">
        <v>0</v>
      </c>
      <c r="H307" s="9">
        <v>45962</v>
      </c>
    </row>
    <row r="308" spans="1:8">
      <c r="A308" s="9">
        <v>45964</v>
      </c>
      <c r="B308" t="s">
        <v>53</v>
      </c>
      <c r="C308">
        <v>1</v>
      </c>
      <c r="D308" s="10">
        <v>401500</v>
      </c>
      <c r="E308" s="10">
        <f t="shared" si="8"/>
        <v>-7000</v>
      </c>
      <c r="F308" s="11">
        <f t="shared" si="9"/>
        <v>-1.7135862913096694E-2</v>
      </c>
      <c r="G308">
        <v>1</v>
      </c>
      <c r="H308" s="9">
        <v>45964</v>
      </c>
    </row>
    <row r="309" spans="1:8">
      <c r="A309" s="9">
        <v>45965</v>
      </c>
      <c r="B309" t="s">
        <v>54</v>
      </c>
      <c r="C309">
        <v>2</v>
      </c>
      <c r="D309" s="10">
        <v>402500</v>
      </c>
      <c r="E309" s="10">
        <f t="shared" si="8"/>
        <v>1000</v>
      </c>
      <c r="F309" s="11">
        <f t="shared" si="9"/>
        <v>2.4906600249066002E-3</v>
      </c>
      <c r="G309">
        <v>1</v>
      </c>
      <c r="H309" s="9">
        <v>45965</v>
      </c>
    </row>
    <row r="310" spans="1:8">
      <c r="A310" s="9">
        <v>45966</v>
      </c>
      <c r="B310" t="s">
        <v>49</v>
      </c>
      <c r="C310">
        <v>3</v>
      </c>
      <c r="D310" s="10">
        <v>403000</v>
      </c>
      <c r="E310" s="10">
        <f t="shared" si="8"/>
        <v>500</v>
      </c>
      <c r="F310" s="11">
        <f t="shared" si="9"/>
        <v>1.2422360248447205E-3</v>
      </c>
      <c r="G310">
        <v>1</v>
      </c>
      <c r="H310" s="9">
        <v>45966</v>
      </c>
    </row>
    <row r="311" spans="1:8">
      <c r="A311" s="9">
        <v>45967</v>
      </c>
      <c r="B311" t="s">
        <v>50</v>
      </c>
      <c r="C311">
        <v>4</v>
      </c>
      <c r="D311" s="10">
        <v>403500</v>
      </c>
      <c r="E311" s="10">
        <f t="shared" si="8"/>
        <v>500</v>
      </c>
      <c r="F311" s="11">
        <f t="shared" si="9"/>
        <v>1.2406947890818859E-3</v>
      </c>
      <c r="G311">
        <v>1</v>
      </c>
      <c r="H311" s="9">
        <v>45967</v>
      </c>
    </row>
    <row r="312" spans="1:8">
      <c r="A312" s="9">
        <v>45968</v>
      </c>
      <c r="B312" t="s">
        <v>51</v>
      </c>
      <c r="C312">
        <v>5</v>
      </c>
      <c r="D312" s="10">
        <v>404000</v>
      </c>
      <c r="E312" s="10">
        <f t="shared" si="8"/>
        <v>500</v>
      </c>
      <c r="F312" s="11">
        <f t="shared" si="9"/>
        <v>1.2391573729863693E-3</v>
      </c>
      <c r="G312">
        <v>1</v>
      </c>
      <c r="H312" s="9">
        <v>45968</v>
      </c>
    </row>
    <row r="313" spans="1:8">
      <c r="A313" s="9">
        <v>45969</v>
      </c>
      <c r="B313" t="s">
        <v>52</v>
      </c>
      <c r="C313">
        <v>6</v>
      </c>
      <c r="D313" s="10">
        <v>404500</v>
      </c>
      <c r="E313" s="10">
        <f t="shared" si="8"/>
        <v>500</v>
      </c>
      <c r="F313" s="11">
        <f t="shared" si="9"/>
        <v>1.2376237623762376E-3</v>
      </c>
      <c r="G313">
        <v>1</v>
      </c>
      <c r="H313" s="9">
        <v>45969</v>
      </c>
    </row>
    <row r="314" spans="1:8">
      <c r="A314" s="9">
        <v>45970</v>
      </c>
      <c r="B314" t="s">
        <v>55</v>
      </c>
      <c r="C314">
        <v>7</v>
      </c>
      <c r="D314" s="10">
        <v>404500</v>
      </c>
      <c r="E314" s="10">
        <f t="shared" si="8"/>
        <v>0</v>
      </c>
      <c r="F314" s="11">
        <f t="shared" si="9"/>
        <v>0</v>
      </c>
      <c r="G314">
        <v>0</v>
      </c>
      <c r="H314" s="9">
        <v>45969</v>
      </c>
    </row>
    <row r="315" spans="1:8">
      <c r="A315" s="9">
        <v>45971</v>
      </c>
      <c r="B315" t="s">
        <v>53</v>
      </c>
      <c r="C315">
        <v>1</v>
      </c>
      <c r="D315" s="10">
        <v>404500</v>
      </c>
      <c r="E315" s="10">
        <f t="shared" si="8"/>
        <v>0</v>
      </c>
      <c r="F315" s="11">
        <f t="shared" si="9"/>
        <v>0</v>
      </c>
      <c r="G315">
        <v>1</v>
      </c>
      <c r="H315" s="9">
        <v>45971</v>
      </c>
    </row>
    <row r="316" spans="1:8">
      <c r="A316" s="9">
        <v>45972</v>
      </c>
      <c r="B316" t="s">
        <v>54</v>
      </c>
      <c r="C316">
        <v>2</v>
      </c>
      <c r="D316" s="10">
        <v>404500</v>
      </c>
      <c r="E316" s="10">
        <f t="shared" si="8"/>
        <v>0</v>
      </c>
      <c r="F316" s="11">
        <f t="shared" si="9"/>
        <v>0</v>
      </c>
      <c r="G316">
        <v>1</v>
      </c>
      <c r="H316" s="9">
        <v>45972</v>
      </c>
    </row>
    <row r="317" spans="1:8">
      <c r="A317" s="9">
        <v>45973</v>
      </c>
      <c r="B317" t="s">
        <v>49</v>
      </c>
      <c r="C317">
        <v>3</v>
      </c>
      <c r="D317" s="10">
        <v>405500</v>
      </c>
      <c r="E317" s="10">
        <f t="shared" si="8"/>
        <v>1000</v>
      </c>
      <c r="F317" s="11">
        <f t="shared" si="9"/>
        <v>2.472187886279357E-3</v>
      </c>
      <c r="G317">
        <v>1</v>
      </c>
      <c r="H317" s="9">
        <v>45973</v>
      </c>
    </row>
    <row r="318" spans="1:8">
      <c r="A318" s="9">
        <v>45974</v>
      </c>
      <c r="B318" t="s">
        <v>50</v>
      </c>
      <c r="C318">
        <v>4</v>
      </c>
      <c r="D318" s="10">
        <v>406000</v>
      </c>
      <c r="E318" s="10">
        <f t="shared" si="8"/>
        <v>500</v>
      </c>
      <c r="F318" s="11">
        <f t="shared" si="9"/>
        <v>1.2330456226880395E-3</v>
      </c>
      <c r="G318">
        <v>1</v>
      </c>
      <c r="H318" s="9">
        <v>45974</v>
      </c>
    </row>
    <row r="319" spans="1:8">
      <c r="A319" s="9">
        <v>45975</v>
      </c>
      <c r="B319" t="s">
        <v>51</v>
      </c>
      <c r="C319">
        <v>5</v>
      </c>
      <c r="D319" s="10">
        <v>406000</v>
      </c>
      <c r="E319" s="10">
        <f t="shared" si="8"/>
        <v>0</v>
      </c>
      <c r="F319" s="11">
        <f t="shared" si="9"/>
        <v>0</v>
      </c>
      <c r="G319">
        <v>1</v>
      </c>
      <c r="H319" s="9">
        <v>45975</v>
      </c>
    </row>
    <row r="320" spans="1:8">
      <c r="A320" s="9">
        <v>45976</v>
      </c>
      <c r="B320" t="s">
        <v>52</v>
      </c>
      <c r="C320">
        <v>6</v>
      </c>
      <c r="D320" s="10">
        <v>413000</v>
      </c>
      <c r="E320" s="10">
        <f t="shared" si="8"/>
        <v>7000</v>
      </c>
      <c r="F320" s="11">
        <f t="shared" si="9"/>
        <v>1.7241379310344827E-2</v>
      </c>
      <c r="G320">
        <v>1</v>
      </c>
      <c r="H320" s="9">
        <v>45976</v>
      </c>
    </row>
    <row r="321" spans="1:8">
      <c r="A321" s="9">
        <v>45977</v>
      </c>
      <c r="B321" t="s">
        <v>55</v>
      </c>
      <c r="C321">
        <v>7</v>
      </c>
      <c r="D321" s="10">
        <v>413000</v>
      </c>
      <c r="E321" s="10">
        <f t="shared" si="8"/>
        <v>0</v>
      </c>
      <c r="F321" s="11">
        <f t="shared" si="9"/>
        <v>0</v>
      </c>
      <c r="G321">
        <v>0</v>
      </c>
      <c r="H321" s="9">
        <v>45976</v>
      </c>
    </row>
    <row r="322" spans="1:8">
      <c r="A322" s="9">
        <v>45978</v>
      </c>
      <c r="B322" t="s">
        <v>53</v>
      </c>
      <c r="C322">
        <v>1</v>
      </c>
      <c r="D322" s="10">
        <v>406500</v>
      </c>
      <c r="E322" s="10">
        <f t="shared" si="8"/>
        <v>-6500</v>
      </c>
      <c r="F322" s="11">
        <f t="shared" si="9"/>
        <v>-1.5738498789346248E-2</v>
      </c>
      <c r="G322">
        <v>1</v>
      </c>
      <c r="H322" s="9">
        <v>45978</v>
      </c>
    </row>
    <row r="323" spans="1:8">
      <c r="A323" s="9">
        <v>45979</v>
      </c>
      <c r="B323" t="s">
        <v>54</v>
      </c>
      <c r="C323">
        <v>2</v>
      </c>
      <c r="D323" s="10">
        <v>406500</v>
      </c>
      <c r="E323" s="10">
        <f t="shared" ref="E323:E386" si="10">D323-D322</f>
        <v>0</v>
      </c>
      <c r="F323" s="11">
        <f t="shared" ref="F323:F386" si="11">IFERROR(E323/D322,0)</f>
        <v>0</v>
      </c>
      <c r="G323">
        <v>1</v>
      </c>
      <c r="H323" s="9">
        <v>45979</v>
      </c>
    </row>
    <row r="324" spans="1:8">
      <c r="A324" s="9">
        <v>45980</v>
      </c>
      <c r="B324" t="s">
        <v>49</v>
      </c>
      <c r="C324">
        <v>3</v>
      </c>
      <c r="D324" s="10">
        <v>406500</v>
      </c>
      <c r="E324" s="10">
        <f t="shared" si="10"/>
        <v>0</v>
      </c>
      <c r="F324" s="11">
        <f t="shared" si="11"/>
        <v>0</v>
      </c>
      <c r="G324">
        <v>1</v>
      </c>
      <c r="H324" s="9">
        <v>45980</v>
      </c>
    </row>
    <row r="325" spans="1:8">
      <c r="A325" s="9">
        <v>45981</v>
      </c>
      <c r="B325" t="s">
        <v>50</v>
      </c>
      <c r="C325">
        <v>4</v>
      </c>
      <c r="D325" s="10">
        <v>407500</v>
      </c>
      <c r="E325" s="10">
        <f t="shared" si="10"/>
        <v>1000</v>
      </c>
      <c r="F325" s="11">
        <f t="shared" si="11"/>
        <v>2.4600246002460025E-3</v>
      </c>
      <c r="G325">
        <v>1</v>
      </c>
      <c r="H325" s="9">
        <v>45981</v>
      </c>
    </row>
    <row r="326" spans="1:8">
      <c r="A326" s="9">
        <v>45982</v>
      </c>
      <c r="B326" t="s">
        <v>51</v>
      </c>
      <c r="C326">
        <v>5</v>
      </c>
      <c r="D326" s="10">
        <v>407500</v>
      </c>
      <c r="E326" s="10">
        <f t="shared" si="10"/>
        <v>0</v>
      </c>
      <c r="F326" s="11">
        <f t="shared" si="11"/>
        <v>0</v>
      </c>
      <c r="G326">
        <v>1</v>
      </c>
      <c r="H326" s="9">
        <v>45982</v>
      </c>
    </row>
    <row r="327" spans="1:8">
      <c r="A327" s="9">
        <v>45983</v>
      </c>
      <c r="B327" t="s">
        <v>52</v>
      </c>
      <c r="C327">
        <v>6</v>
      </c>
      <c r="D327" s="10">
        <v>408500</v>
      </c>
      <c r="E327" s="10">
        <f t="shared" si="10"/>
        <v>1000</v>
      </c>
      <c r="F327" s="11">
        <f t="shared" si="11"/>
        <v>2.4539877300613498E-3</v>
      </c>
      <c r="G327">
        <v>1</v>
      </c>
      <c r="H327" s="9">
        <v>45983</v>
      </c>
    </row>
    <row r="328" spans="1:8">
      <c r="A328" s="9">
        <v>45984</v>
      </c>
      <c r="B328" t="s">
        <v>55</v>
      </c>
      <c r="C328">
        <v>7</v>
      </c>
      <c r="D328" s="10">
        <v>408500</v>
      </c>
      <c r="E328" s="10">
        <f t="shared" si="10"/>
        <v>0</v>
      </c>
      <c r="F328" s="11">
        <f t="shared" si="11"/>
        <v>0</v>
      </c>
      <c r="G328">
        <v>0</v>
      </c>
      <c r="H328" s="9">
        <v>45983</v>
      </c>
    </row>
    <row r="329" spans="1:8">
      <c r="A329" s="9">
        <v>45985</v>
      </c>
      <c r="B329" t="s">
        <v>53</v>
      </c>
      <c r="C329">
        <v>1</v>
      </c>
      <c r="D329" s="10">
        <v>408500</v>
      </c>
      <c r="E329" s="10">
        <f t="shared" si="10"/>
        <v>0</v>
      </c>
      <c r="F329" s="11">
        <f t="shared" si="11"/>
        <v>0</v>
      </c>
      <c r="G329">
        <v>1</v>
      </c>
      <c r="H329" s="9">
        <v>45985</v>
      </c>
    </row>
    <row r="330" spans="1:8">
      <c r="A330" s="9">
        <v>45986</v>
      </c>
      <c r="B330" t="s">
        <v>54</v>
      </c>
      <c r="C330">
        <v>2</v>
      </c>
      <c r="D330" s="10">
        <v>408000</v>
      </c>
      <c r="E330" s="10">
        <f t="shared" si="10"/>
        <v>-500</v>
      </c>
      <c r="F330" s="11">
        <f t="shared" si="11"/>
        <v>-1.2239902080783353E-3</v>
      </c>
      <c r="G330">
        <v>1</v>
      </c>
      <c r="H330" s="9">
        <v>45986</v>
      </c>
    </row>
    <row r="331" spans="1:8">
      <c r="A331" s="9">
        <v>45987</v>
      </c>
      <c r="B331" t="s">
        <v>49</v>
      </c>
      <c r="C331">
        <v>3</v>
      </c>
      <c r="D331" s="10">
        <v>408500</v>
      </c>
      <c r="E331" s="10">
        <f t="shared" si="10"/>
        <v>500</v>
      </c>
      <c r="F331" s="11">
        <f t="shared" si="11"/>
        <v>1.2254901960784314E-3</v>
      </c>
      <c r="G331">
        <v>1</v>
      </c>
      <c r="H331" s="9">
        <v>45987</v>
      </c>
    </row>
    <row r="332" spans="1:8">
      <c r="A332" s="9">
        <v>45988</v>
      </c>
      <c r="B332" t="s">
        <v>50</v>
      </c>
      <c r="C332">
        <v>4</v>
      </c>
      <c r="D332" s="10">
        <v>408500</v>
      </c>
      <c r="E332" s="10">
        <f t="shared" si="10"/>
        <v>0</v>
      </c>
      <c r="F332" s="11">
        <f t="shared" si="11"/>
        <v>0</v>
      </c>
      <c r="G332">
        <v>1</v>
      </c>
      <c r="H332" s="9">
        <v>45988</v>
      </c>
    </row>
    <row r="333" spans="1:8">
      <c r="A333" s="9">
        <v>45989</v>
      </c>
      <c r="B333" t="s">
        <v>51</v>
      </c>
      <c r="C333">
        <v>5</v>
      </c>
      <c r="D333" s="10">
        <v>409500</v>
      </c>
      <c r="E333" s="10">
        <f t="shared" si="10"/>
        <v>1000</v>
      </c>
      <c r="F333" s="11">
        <f t="shared" si="11"/>
        <v>2.4479804161566705E-3</v>
      </c>
      <c r="G333">
        <v>1</v>
      </c>
      <c r="H333" s="9">
        <v>45989</v>
      </c>
    </row>
    <row r="334" spans="1:8">
      <c r="A334" s="9">
        <v>45990</v>
      </c>
      <c r="B334" t="s">
        <v>52</v>
      </c>
      <c r="C334">
        <v>6</v>
      </c>
      <c r="D334" s="10">
        <v>409500</v>
      </c>
      <c r="E334" s="10">
        <f t="shared" si="10"/>
        <v>0</v>
      </c>
      <c r="F334" s="11">
        <f t="shared" si="11"/>
        <v>0</v>
      </c>
      <c r="G334">
        <v>1</v>
      </c>
      <c r="H334" s="9">
        <v>45990</v>
      </c>
    </row>
    <row r="335" spans="1:8">
      <c r="A335" s="9">
        <v>45991</v>
      </c>
      <c r="B335" t="s">
        <v>55</v>
      </c>
      <c r="C335">
        <v>7</v>
      </c>
      <c r="D335" s="10">
        <v>409500</v>
      </c>
      <c r="E335" s="10">
        <f t="shared" si="10"/>
        <v>0</v>
      </c>
      <c r="F335" s="11">
        <f t="shared" si="11"/>
        <v>0</v>
      </c>
      <c r="G335">
        <v>0</v>
      </c>
      <c r="H335" s="9">
        <v>45990</v>
      </c>
    </row>
    <row r="336" spans="1:8">
      <c r="A336" s="9">
        <v>45992</v>
      </c>
      <c r="B336" t="s">
        <v>53</v>
      </c>
      <c r="C336">
        <v>1</v>
      </c>
      <c r="D336" s="10">
        <v>415000</v>
      </c>
      <c r="E336" s="10">
        <f t="shared" si="10"/>
        <v>5500</v>
      </c>
      <c r="F336" s="11">
        <f t="shared" si="11"/>
        <v>1.3431013431013432E-2</v>
      </c>
      <c r="G336">
        <v>1</v>
      </c>
      <c r="H336" s="9">
        <v>45992</v>
      </c>
    </row>
    <row r="337" spans="1:8">
      <c r="A337" s="9">
        <v>45993</v>
      </c>
      <c r="B337" t="s">
        <v>54</v>
      </c>
      <c r="C337">
        <v>2</v>
      </c>
      <c r="D337" s="10">
        <v>410500</v>
      </c>
      <c r="E337" s="10">
        <f t="shared" si="10"/>
        <v>-4500</v>
      </c>
      <c r="F337" s="11">
        <f t="shared" si="11"/>
        <v>-1.0843373493975903E-2</v>
      </c>
      <c r="G337">
        <v>1</v>
      </c>
      <c r="H337" s="9">
        <v>45993</v>
      </c>
    </row>
    <row r="338" spans="1:8">
      <c r="A338" s="9">
        <v>45994</v>
      </c>
      <c r="B338" t="s">
        <v>49</v>
      </c>
      <c r="C338">
        <v>3</v>
      </c>
      <c r="D338" s="10">
        <v>411500</v>
      </c>
      <c r="E338" s="10">
        <f t="shared" si="10"/>
        <v>1000</v>
      </c>
      <c r="F338" s="11">
        <f t="shared" si="11"/>
        <v>2.4360535931790498E-3</v>
      </c>
      <c r="G338">
        <v>1</v>
      </c>
      <c r="H338" s="9">
        <v>45994</v>
      </c>
    </row>
    <row r="339" spans="1:8">
      <c r="A339" s="9">
        <v>45995</v>
      </c>
      <c r="B339" t="s">
        <v>50</v>
      </c>
      <c r="C339">
        <v>4</v>
      </c>
      <c r="D339" s="10">
        <v>411500</v>
      </c>
      <c r="E339" s="10">
        <f t="shared" si="10"/>
        <v>0</v>
      </c>
      <c r="F339" s="11">
        <f t="shared" si="11"/>
        <v>0</v>
      </c>
      <c r="G339">
        <v>1</v>
      </c>
      <c r="H339" s="9">
        <v>45995</v>
      </c>
    </row>
    <row r="340" spans="1:8">
      <c r="A340" s="9">
        <v>45996</v>
      </c>
      <c r="B340" t="s">
        <v>51</v>
      </c>
      <c r="C340">
        <v>5</v>
      </c>
      <c r="D340" s="10">
        <v>412000</v>
      </c>
      <c r="E340" s="10">
        <f t="shared" si="10"/>
        <v>500</v>
      </c>
      <c r="F340" s="11">
        <f t="shared" si="11"/>
        <v>1.215066828675577E-3</v>
      </c>
      <c r="G340">
        <v>1</v>
      </c>
      <c r="H340" s="9">
        <v>45996</v>
      </c>
    </row>
    <row r="341" spans="1:8">
      <c r="A341" s="9">
        <v>45997</v>
      </c>
      <c r="B341" t="s">
        <v>52</v>
      </c>
      <c r="C341">
        <v>6</v>
      </c>
      <c r="D341" s="10">
        <v>412000</v>
      </c>
      <c r="E341" s="10">
        <f t="shared" si="10"/>
        <v>0</v>
      </c>
      <c r="F341" s="11">
        <f t="shared" si="11"/>
        <v>0</v>
      </c>
      <c r="G341">
        <v>1</v>
      </c>
      <c r="H341" s="9">
        <v>45997</v>
      </c>
    </row>
    <row r="342" spans="1:8">
      <c r="A342" s="9">
        <v>45998</v>
      </c>
      <c r="B342" t="s">
        <v>55</v>
      </c>
      <c r="C342">
        <v>7</v>
      </c>
      <c r="D342" s="10">
        <v>412000</v>
      </c>
      <c r="E342" s="10">
        <f t="shared" si="10"/>
        <v>0</v>
      </c>
      <c r="F342" s="11">
        <f t="shared" si="11"/>
        <v>0</v>
      </c>
      <c r="G342">
        <v>0</v>
      </c>
      <c r="H342" s="9">
        <v>45997</v>
      </c>
    </row>
    <row r="343" spans="1:8">
      <c r="A343" s="9">
        <v>45999</v>
      </c>
      <c r="B343" t="s">
        <v>53</v>
      </c>
      <c r="C343">
        <v>1</v>
      </c>
      <c r="D343" s="10">
        <v>412500</v>
      </c>
      <c r="E343" s="10">
        <f t="shared" si="10"/>
        <v>500</v>
      </c>
      <c r="F343" s="11">
        <f t="shared" si="11"/>
        <v>1.2135922330097086E-3</v>
      </c>
      <c r="G343">
        <v>1</v>
      </c>
      <c r="H343" s="9">
        <v>45999</v>
      </c>
    </row>
    <row r="344" spans="1:8">
      <c r="A344" s="9">
        <v>46000</v>
      </c>
      <c r="B344" t="s">
        <v>54</v>
      </c>
      <c r="C344">
        <v>2</v>
      </c>
      <c r="D344" s="10">
        <v>413500</v>
      </c>
      <c r="E344" s="10">
        <f t="shared" si="10"/>
        <v>1000</v>
      </c>
      <c r="F344" s="11">
        <f t="shared" si="11"/>
        <v>2.4242424242424242E-3</v>
      </c>
      <c r="G344">
        <v>1</v>
      </c>
      <c r="H344" s="9">
        <v>46000</v>
      </c>
    </row>
    <row r="345" spans="1:8">
      <c r="A345" s="9">
        <v>46001</v>
      </c>
      <c r="B345" t="s">
        <v>49</v>
      </c>
      <c r="C345">
        <v>3</v>
      </c>
      <c r="D345" s="10">
        <v>414500</v>
      </c>
      <c r="E345" s="10">
        <f t="shared" si="10"/>
        <v>1000</v>
      </c>
      <c r="F345" s="11">
        <f t="shared" si="11"/>
        <v>2.4183796856106408E-3</v>
      </c>
      <c r="G345">
        <v>1</v>
      </c>
      <c r="H345" s="9">
        <v>46001</v>
      </c>
    </row>
    <row r="346" spans="1:8">
      <c r="A346" s="9">
        <v>46002</v>
      </c>
      <c r="B346" t="s">
        <v>50</v>
      </c>
      <c r="C346">
        <v>4</v>
      </c>
      <c r="D346" s="10">
        <v>415000</v>
      </c>
      <c r="E346" s="10">
        <f t="shared" si="10"/>
        <v>500</v>
      </c>
      <c r="F346" s="11">
        <f t="shared" si="11"/>
        <v>1.2062726176115801E-3</v>
      </c>
      <c r="G346">
        <v>1</v>
      </c>
      <c r="H346" s="9">
        <v>46002</v>
      </c>
    </row>
    <row r="347" spans="1:8">
      <c r="A347" s="9">
        <v>46003</v>
      </c>
      <c r="B347" t="s">
        <v>51</v>
      </c>
      <c r="C347">
        <v>5</v>
      </c>
      <c r="D347" s="10">
        <v>416000</v>
      </c>
      <c r="E347" s="10">
        <f t="shared" si="10"/>
        <v>1000</v>
      </c>
      <c r="F347" s="11">
        <f t="shared" si="11"/>
        <v>2.4096385542168677E-3</v>
      </c>
      <c r="G347">
        <v>1</v>
      </c>
      <c r="H347" s="9">
        <v>46003</v>
      </c>
    </row>
    <row r="348" spans="1:8">
      <c r="A348" s="9">
        <v>46004</v>
      </c>
      <c r="B348" t="s">
        <v>52</v>
      </c>
      <c r="C348">
        <v>6</v>
      </c>
      <c r="D348" s="10">
        <v>416500</v>
      </c>
      <c r="E348" s="10">
        <f t="shared" si="10"/>
        <v>500</v>
      </c>
      <c r="F348" s="11">
        <f t="shared" si="11"/>
        <v>1.201923076923077E-3</v>
      </c>
      <c r="G348">
        <v>1</v>
      </c>
      <c r="H348" s="9">
        <v>46004</v>
      </c>
    </row>
    <row r="349" spans="1:8">
      <c r="A349" s="9">
        <v>46005</v>
      </c>
      <c r="B349" t="s">
        <v>55</v>
      </c>
      <c r="C349">
        <v>7</v>
      </c>
      <c r="D349" s="10">
        <v>416500</v>
      </c>
      <c r="E349" s="10">
        <f t="shared" si="10"/>
        <v>0</v>
      </c>
      <c r="F349" s="11">
        <f t="shared" si="11"/>
        <v>0</v>
      </c>
      <c r="G349">
        <v>0</v>
      </c>
      <c r="H349" s="9">
        <v>46004</v>
      </c>
    </row>
    <row r="350" spans="1:8">
      <c r="A350" s="9">
        <v>46006</v>
      </c>
      <c r="B350" t="s">
        <v>53</v>
      </c>
      <c r="C350">
        <v>1</v>
      </c>
      <c r="D350" s="10">
        <v>420000</v>
      </c>
      <c r="E350" s="10">
        <f t="shared" si="10"/>
        <v>3500</v>
      </c>
      <c r="F350" s="11">
        <f t="shared" si="11"/>
        <v>8.4033613445378148E-3</v>
      </c>
      <c r="G350">
        <v>1</v>
      </c>
      <c r="H350" s="9">
        <v>46006</v>
      </c>
    </row>
    <row r="351" spans="1:8">
      <c r="A351" s="9">
        <v>46007</v>
      </c>
      <c r="B351" t="s">
        <v>54</v>
      </c>
      <c r="C351">
        <v>2</v>
      </c>
      <c r="D351" s="10">
        <v>417000</v>
      </c>
      <c r="E351" s="10">
        <f t="shared" si="10"/>
        <v>-3000</v>
      </c>
      <c r="F351" s="11">
        <f t="shared" si="11"/>
        <v>-7.1428571428571426E-3</v>
      </c>
      <c r="G351">
        <v>1</v>
      </c>
      <c r="H351" s="9">
        <v>46007</v>
      </c>
    </row>
    <row r="352" spans="1:8">
      <c r="A352" s="9">
        <v>46008</v>
      </c>
      <c r="B352" t="s">
        <v>49</v>
      </c>
      <c r="C352">
        <v>3</v>
      </c>
      <c r="D352" s="10">
        <v>416500</v>
      </c>
      <c r="E352" s="10">
        <f t="shared" si="10"/>
        <v>-500</v>
      </c>
      <c r="F352" s="11">
        <f t="shared" si="11"/>
        <v>-1.199040767386091E-3</v>
      </c>
      <c r="G352">
        <v>1</v>
      </c>
      <c r="H352" s="9">
        <v>46008</v>
      </c>
    </row>
    <row r="353" spans="1:8">
      <c r="A353" s="9">
        <v>46009</v>
      </c>
      <c r="B353" t="s">
        <v>50</v>
      </c>
      <c r="C353">
        <v>4</v>
      </c>
      <c r="D353" s="10">
        <v>416000</v>
      </c>
      <c r="E353" s="10">
        <f t="shared" si="10"/>
        <v>-500</v>
      </c>
      <c r="F353" s="11">
        <f t="shared" si="11"/>
        <v>-1.2004801920768306E-3</v>
      </c>
      <c r="G353">
        <v>1</v>
      </c>
      <c r="H353" s="9">
        <v>46009</v>
      </c>
    </row>
    <row r="354" spans="1:8">
      <c r="A354" s="9">
        <v>46010</v>
      </c>
      <c r="B354" t="s">
        <v>51</v>
      </c>
      <c r="C354">
        <v>5</v>
      </c>
      <c r="D354" s="10">
        <v>415500</v>
      </c>
      <c r="E354" s="10">
        <f t="shared" si="10"/>
        <v>-500</v>
      </c>
      <c r="F354" s="11">
        <f t="shared" si="11"/>
        <v>-1.201923076923077E-3</v>
      </c>
      <c r="G354">
        <v>1</v>
      </c>
      <c r="H354" s="9">
        <v>46010</v>
      </c>
    </row>
    <row r="355" spans="1:8">
      <c r="A355" s="9">
        <v>46011</v>
      </c>
      <c r="B355" t="s">
        <v>52</v>
      </c>
      <c r="C355">
        <v>6</v>
      </c>
      <c r="D355" s="10">
        <v>416000</v>
      </c>
      <c r="E355" s="10">
        <f t="shared" si="10"/>
        <v>500</v>
      </c>
      <c r="F355" s="11">
        <f t="shared" si="11"/>
        <v>1.2033694344163659E-3</v>
      </c>
      <c r="G355">
        <v>1</v>
      </c>
      <c r="H355" s="9">
        <v>46011</v>
      </c>
    </row>
    <row r="356" spans="1:8">
      <c r="A356" s="9">
        <v>46012</v>
      </c>
      <c r="B356" t="s">
        <v>55</v>
      </c>
      <c r="C356">
        <v>7</v>
      </c>
      <c r="D356" s="10">
        <v>416000</v>
      </c>
      <c r="E356" s="10">
        <f t="shared" si="10"/>
        <v>0</v>
      </c>
      <c r="F356" s="11">
        <f t="shared" si="11"/>
        <v>0</v>
      </c>
      <c r="G356">
        <v>0</v>
      </c>
      <c r="H356" s="9">
        <v>46011</v>
      </c>
    </row>
    <row r="357" spans="1:8">
      <c r="A357" s="9">
        <v>46013</v>
      </c>
      <c r="B357" t="s">
        <v>53</v>
      </c>
      <c r="C357">
        <v>1</v>
      </c>
      <c r="D357" s="10">
        <v>415500</v>
      </c>
      <c r="E357" s="10">
        <f t="shared" si="10"/>
        <v>-500</v>
      </c>
      <c r="F357" s="11">
        <f t="shared" si="11"/>
        <v>-1.201923076923077E-3</v>
      </c>
      <c r="G357">
        <v>1</v>
      </c>
      <c r="H357" s="9">
        <v>46013</v>
      </c>
    </row>
    <row r="358" spans="1:8">
      <c r="A358" s="9">
        <v>46014</v>
      </c>
      <c r="B358" t="s">
        <v>54</v>
      </c>
      <c r="C358">
        <v>2</v>
      </c>
      <c r="D358" s="10">
        <v>416000</v>
      </c>
      <c r="E358" s="10">
        <f t="shared" si="10"/>
        <v>500</v>
      </c>
      <c r="F358" s="11">
        <f t="shared" si="11"/>
        <v>1.2033694344163659E-3</v>
      </c>
      <c r="G358">
        <v>1</v>
      </c>
      <c r="H358" s="9">
        <v>46014</v>
      </c>
    </row>
    <row r="359" spans="1:8">
      <c r="A359" s="9">
        <v>46015</v>
      </c>
      <c r="B359" t="s">
        <v>49</v>
      </c>
      <c r="C359">
        <v>3</v>
      </c>
      <c r="D359" s="10">
        <v>416000</v>
      </c>
      <c r="E359" s="10">
        <f t="shared" si="10"/>
        <v>0</v>
      </c>
      <c r="F359" s="11">
        <f t="shared" si="11"/>
        <v>0</v>
      </c>
      <c r="G359">
        <v>1</v>
      </c>
      <c r="H359" s="9">
        <v>46015</v>
      </c>
    </row>
    <row r="360" spans="1:8">
      <c r="A360" s="9">
        <v>46016</v>
      </c>
      <c r="B360" t="s">
        <v>50</v>
      </c>
      <c r="C360">
        <v>4</v>
      </c>
      <c r="D360" s="10">
        <v>416500</v>
      </c>
      <c r="E360" s="10">
        <f t="shared" si="10"/>
        <v>500</v>
      </c>
      <c r="F360" s="11">
        <f t="shared" si="11"/>
        <v>1.201923076923077E-3</v>
      </c>
      <c r="G360">
        <v>1</v>
      </c>
      <c r="H360" s="9">
        <v>46016</v>
      </c>
    </row>
    <row r="361" spans="1:8">
      <c r="A361" s="9">
        <v>46017</v>
      </c>
      <c r="B361" t="s">
        <v>51</v>
      </c>
      <c r="C361">
        <v>5</v>
      </c>
      <c r="D361" s="10">
        <v>416500</v>
      </c>
      <c r="E361" s="10">
        <f t="shared" si="10"/>
        <v>0</v>
      </c>
      <c r="F361" s="11">
        <f t="shared" si="11"/>
        <v>0</v>
      </c>
      <c r="G361">
        <v>1</v>
      </c>
      <c r="H361" s="9">
        <v>46017</v>
      </c>
    </row>
    <row r="362" spans="1:8">
      <c r="A362" s="9">
        <v>46018</v>
      </c>
      <c r="B362" t="s">
        <v>52</v>
      </c>
      <c r="C362">
        <v>6</v>
      </c>
      <c r="D362" s="10">
        <v>417000</v>
      </c>
      <c r="E362" s="10">
        <f t="shared" si="10"/>
        <v>500</v>
      </c>
      <c r="F362" s="11">
        <f t="shared" si="11"/>
        <v>1.2004801920768306E-3</v>
      </c>
      <c r="G362">
        <v>1</v>
      </c>
      <c r="H362" s="9">
        <v>46018</v>
      </c>
    </row>
    <row r="363" spans="1:8">
      <c r="A363" s="9">
        <v>46019</v>
      </c>
      <c r="B363" t="s">
        <v>55</v>
      </c>
      <c r="C363">
        <v>7</v>
      </c>
      <c r="D363" s="10">
        <v>417000</v>
      </c>
      <c r="E363" s="10">
        <f t="shared" si="10"/>
        <v>0</v>
      </c>
      <c r="F363" s="11">
        <f t="shared" si="11"/>
        <v>0</v>
      </c>
      <c r="G363">
        <v>0</v>
      </c>
      <c r="H363" s="9">
        <v>46018</v>
      </c>
    </row>
    <row r="364" spans="1:8">
      <c r="A364" s="9">
        <v>46020</v>
      </c>
      <c r="B364" t="s">
        <v>53</v>
      </c>
      <c r="C364">
        <v>1</v>
      </c>
      <c r="D364" s="10">
        <v>416500</v>
      </c>
      <c r="E364" s="10">
        <f t="shared" si="10"/>
        <v>-500</v>
      </c>
      <c r="F364" s="11">
        <f t="shared" si="11"/>
        <v>-1.199040767386091E-3</v>
      </c>
      <c r="G364">
        <v>1</v>
      </c>
      <c r="H364" s="9">
        <v>46020</v>
      </c>
    </row>
    <row r="365" spans="1:8">
      <c r="A365" s="9">
        <v>46021</v>
      </c>
      <c r="B365" t="s">
        <v>54</v>
      </c>
      <c r="C365">
        <v>2</v>
      </c>
      <c r="D365" s="10">
        <v>416500</v>
      </c>
      <c r="E365" s="10">
        <f t="shared" si="10"/>
        <v>0</v>
      </c>
      <c r="F365" s="11">
        <f t="shared" si="11"/>
        <v>0</v>
      </c>
      <c r="G365">
        <v>1</v>
      </c>
      <c r="H365" s="9">
        <v>46021</v>
      </c>
    </row>
    <row r="366" spans="1:8">
      <c r="A366" s="9">
        <v>46022</v>
      </c>
      <c r="B366" t="s">
        <v>49</v>
      </c>
      <c r="C366">
        <v>3</v>
      </c>
      <c r="D366" s="10">
        <v>417500</v>
      </c>
      <c r="E366" s="10">
        <f t="shared" si="10"/>
        <v>1000</v>
      </c>
      <c r="F366" s="11">
        <f t="shared" si="11"/>
        <v>2.4009603841536613E-3</v>
      </c>
      <c r="G366">
        <v>1</v>
      </c>
      <c r="H366" s="9">
        <v>46022</v>
      </c>
    </row>
    <row r="367" spans="1:8">
      <c r="A367" s="9">
        <v>46023</v>
      </c>
      <c r="B367" t="s">
        <v>50</v>
      </c>
      <c r="C367">
        <v>4</v>
      </c>
      <c r="D367" s="10">
        <v>418000</v>
      </c>
      <c r="E367" s="10">
        <f t="shared" si="10"/>
        <v>500</v>
      </c>
      <c r="F367" s="11">
        <f t="shared" si="11"/>
        <v>1.1976047904191617E-3</v>
      </c>
      <c r="G367">
        <v>1</v>
      </c>
      <c r="H367" s="9">
        <v>46023</v>
      </c>
    </row>
    <row r="368" spans="1:8">
      <c r="A368" s="9">
        <v>46024</v>
      </c>
      <c r="B368" t="s">
        <v>51</v>
      </c>
      <c r="C368">
        <v>5</v>
      </c>
      <c r="D368" s="10">
        <v>418500</v>
      </c>
      <c r="E368" s="10">
        <f t="shared" si="10"/>
        <v>500</v>
      </c>
      <c r="F368" s="11">
        <f t="shared" si="11"/>
        <v>1.1961722488038277E-3</v>
      </c>
      <c r="G368">
        <v>1</v>
      </c>
      <c r="H368" s="9">
        <v>46024</v>
      </c>
    </row>
    <row r="369" spans="1:8">
      <c r="A369" s="9">
        <v>46025</v>
      </c>
      <c r="B369" t="s">
        <v>52</v>
      </c>
      <c r="C369">
        <v>6</v>
      </c>
      <c r="D369" s="10">
        <v>419000</v>
      </c>
      <c r="E369" s="10">
        <f t="shared" si="10"/>
        <v>500</v>
      </c>
      <c r="F369" s="11">
        <f t="shared" si="11"/>
        <v>1.1947431302270011E-3</v>
      </c>
      <c r="G369">
        <v>1</v>
      </c>
      <c r="H369" s="9">
        <v>46025</v>
      </c>
    </row>
    <row r="370" spans="1:8">
      <c r="A370" s="9">
        <v>46026</v>
      </c>
      <c r="B370" t="s">
        <v>55</v>
      </c>
      <c r="C370">
        <v>7</v>
      </c>
      <c r="D370" s="10">
        <v>419000</v>
      </c>
      <c r="E370" s="10">
        <f t="shared" si="10"/>
        <v>0</v>
      </c>
      <c r="F370" s="11">
        <f t="shared" si="11"/>
        <v>0</v>
      </c>
      <c r="G370">
        <v>0</v>
      </c>
      <c r="H370" s="9">
        <v>46025</v>
      </c>
    </row>
    <row r="371" spans="1:8">
      <c r="A371" s="9">
        <v>46027</v>
      </c>
      <c r="B371" t="s">
        <v>53</v>
      </c>
      <c r="C371">
        <v>1</v>
      </c>
      <c r="D371" s="10">
        <v>420000</v>
      </c>
      <c r="E371" s="10">
        <f t="shared" si="10"/>
        <v>1000</v>
      </c>
      <c r="F371" s="11">
        <f t="shared" si="11"/>
        <v>2.3866348448687352E-3</v>
      </c>
      <c r="G371">
        <v>1</v>
      </c>
      <c r="H371" s="9">
        <v>46027</v>
      </c>
    </row>
    <row r="372" spans="1:8">
      <c r="A372" s="9">
        <v>46028</v>
      </c>
      <c r="B372" t="s">
        <v>54</v>
      </c>
      <c r="C372">
        <v>2</v>
      </c>
      <c r="D372" s="10">
        <v>419500</v>
      </c>
      <c r="E372" s="10">
        <f t="shared" si="10"/>
        <v>-500</v>
      </c>
      <c r="F372" s="11">
        <f t="shared" si="11"/>
        <v>-1.1904761904761906E-3</v>
      </c>
      <c r="G372">
        <v>1</v>
      </c>
      <c r="H372" s="9">
        <v>46028</v>
      </c>
    </row>
    <row r="373" spans="1:8">
      <c r="A373" s="9">
        <v>46029</v>
      </c>
      <c r="B373" t="s">
        <v>49</v>
      </c>
      <c r="C373">
        <v>3</v>
      </c>
      <c r="D373" s="10">
        <v>420500</v>
      </c>
      <c r="E373" s="10">
        <f t="shared" si="10"/>
        <v>1000</v>
      </c>
      <c r="F373" s="11">
        <f t="shared" si="11"/>
        <v>2.3837902264600714E-3</v>
      </c>
      <c r="G373">
        <v>1</v>
      </c>
      <c r="H373" s="9">
        <v>46029</v>
      </c>
    </row>
    <row r="374" spans="1:8">
      <c r="A374" s="9">
        <v>46030</v>
      </c>
      <c r="B374" t="s">
        <v>50</v>
      </c>
      <c r="C374">
        <v>4</v>
      </c>
      <c r="D374" s="10">
        <v>421000</v>
      </c>
      <c r="E374" s="10">
        <f t="shared" si="10"/>
        <v>500</v>
      </c>
      <c r="F374" s="11">
        <f t="shared" si="11"/>
        <v>1.1890606420927466E-3</v>
      </c>
      <c r="G374">
        <v>1</v>
      </c>
      <c r="H374" s="9">
        <v>46030</v>
      </c>
    </row>
    <row r="375" spans="1:8">
      <c r="A375" s="9">
        <v>46031</v>
      </c>
      <c r="B375" t="s">
        <v>51</v>
      </c>
      <c r="C375">
        <v>5</v>
      </c>
      <c r="D375" s="10">
        <v>421000</v>
      </c>
      <c r="E375" s="10">
        <f t="shared" si="10"/>
        <v>0</v>
      </c>
      <c r="F375" s="11">
        <f t="shared" si="11"/>
        <v>0</v>
      </c>
      <c r="G375">
        <v>1</v>
      </c>
      <c r="H375" s="9">
        <v>46031</v>
      </c>
    </row>
    <row r="376" spans="1:8">
      <c r="A376" s="9">
        <v>46032</v>
      </c>
      <c r="B376" t="s">
        <v>52</v>
      </c>
      <c r="C376">
        <v>6</v>
      </c>
      <c r="D376" s="10">
        <v>421500</v>
      </c>
      <c r="E376" s="10">
        <f t="shared" si="10"/>
        <v>500</v>
      </c>
      <c r="F376" s="11">
        <f t="shared" si="11"/>
        <v>1.1876484560570072E-3</v>
      </c>
      <c r="G376">
        <v>1</v>
      </c>
      <c r="H376" s="9">
        <v>46032</v>
      </c>
    </row>
    <row r="377" spans="1:8">
      <c r="A377" s="9">
        <v>46033</v>
      </c>
      <c r="B377" t="s">
        <v>55</v>
      </c>
      <c r="C377">
        <v>7</v>
      </c>
      <c r="D377" s="10">
        <v>421500</v>
      </c>
      <c r="E377" s="10">
        <f t="shared" si="10"/>
        <v>0</v>
      </c>
      <c r="F377" s="11">
        <f t="shared" si="11"/>
        <v>0</v>
      </c>
      <c r="G377">
        <v>0</v>
      </c>
      <c r="H377" s="9">
        <v>46032</v>
      </c>
    </row>
    <row r="378" spans="1:8">
      <c r="A378" s="9">
        <v>46034</v>
      </c>
      <c r="B378" t="s">
        <v>53</v>
      </c>
      <c r="C378">
        <v>1</v>
      </c>
      <c r="D378" s="10">
        <v>421500</v>
      </c>
      <c r="E378" s="10">
        <f t="shared" si="10"/>
        <v>0</v>
      </c>
      <c r="F378" s="11">
        <f t="shared" si="11"/>
        <v>0</v>
      </c>
      <c r="G378">
        <v>1</v>
      </c>
      <c r="H378" s="9">
        <v>46034</v>
      </c>
    </row>
    <row r="379" spans="1:8">
      <c r="A379" s="9">
        <v>46035</v>
      </c>
      <c r="B379" t="s">
        <v>54</v>
      </c>
      <c r="C379">
        <v>2</v>
      </c>
      <c r="D379" s="10">
        <v>422000</v>
      </c>
      <c r="E379" s="10">
        <f t="shared" si="10"/>
        <v>500</v>
      </c>
      <c r="F379" s="11">
        <f t="shared" si="11"/>
        <v>1.1862396204033216E-3</v>
      </c>
      <c r="G379">
        <v>1</v>
      </c>
      <c r="H379" s="9">
        <v>46035</v>
      </c>
    </row>
    <row r="380" spans="1:8">
      <c r="A380" s="9">
        <v>46036</v>
      </c>
      <c r="B380" t="s">
        <v>49</v>
      </c>
      <c r="C380">
        <v>3</v>
      </c>
      <c r="D380" s="10">
        <v>422500</v>
      </c>
      <c r="E380" s="10">
        <f t="shared" si="10"/>
        <v>500</v>
      </c>
      <c r="F380" s="11">
        <f t="shared" si="11"/>
        <v>1.1848341232227489E-3</v>
      </c>
      <c r="G380">
        <v>1</v>
      </c>
      <c r="H380" s="9">
        <v>46036</v>
      </c>
    </row>
    <row r="381" spans="1:8">
      <c r="A381" s="9">
        <v>46037</v>
      </c>
      <c r="B381" t="s">
        <v>50</v>
      </c>
      <c r="C381">
        <v>4</v>
      </c>
      <c r="D381" s="10">
        <v>422500</v>
      </c>
      <c r="E381" s="10">
        <f t="shared" si="10"/>
        <v>0</v>
      </c>
      <c r="F381" s="11">
        <f t="shared" si="11"/>
        <v>0</v>
      </c>
      <c r="G381">
        <v>1</v>
      </c>
      <c r="H381" s="9">
        <v>46037</v>
      </c>
    </row>
    <row r="382" spans="1:8">
      <c r="A382" s="9">
        <v>46038</v>
      </c>
      <c r="B382" t="s">
        <v>51</v>
      </c>
      <c r="C382">
        <v>5</v>
      </c>
      <c r="D382" s="10">
        <v>422000</v>
      </c>
      <c r="E382" s="10">
        <f t="shared" si="10"/>
        <v>-500</v>
      </c>
      <c r="F382" s="11">
        <f t="shared" si="11"/>
        <v>-1.1834319526627219E-3</v>
      </c>
      <c r="G382">
        <v>1</v>
      </c>
      <c r="H382" s="9">
        <v>46038</v>
      </c>
    </row>
    <row r="383" spans="1:8">
      <c r="A383" s="9">
        <v>46039</v>
      </c>
      <c r="B383" t="s">
        <v>52</v>
      </c>
      <c r="C383">
        <v>6</v>
      </c>
      <c r="D383" s="10">
        <v>423000</v>
      </c>
      <c r="E383" s="10">
        <f t="shared" si="10"/>
        <v>1000</v>
      </c>
      <c r="F383" s="11">
        <f t="shared" si="11"/>
        <v>2.3696682464454978E-3</v>
      </c>
      <c r="G383">
        <v>1</v>
      </c>
      <c r="H383" s="9">
        <v>46039</v>
      </c>
    </row>
    <row r="384" spans="1:8">
      <c r="A384" s="9">
        <v>46040</v>
      </c>
      <c r="B384" t="s">
        <v>55</v>
      </c>
      <c r="C384">
        <v>7</v>
      </c>
      <c r="D384" s="10">
        <v>423000</v>
      </c>
      <c r="E384" s="10">
        <f t="shared" si="10"/>
        <v>0</v>
      </c>
      <c r="F384" s="11">
        <f t="shared" si="11"/>
        <v>0</v>
      </c>
      <c r="G384">
        <v>0</v>
      </c>
      <c r="H384" s="9">
        <v>46039</v>
      </c>
    </row>
    <row r="385" spans="1:8">
      <c r="A385" s="9">
        <v>46041</v>
      </c>
      <c r="B385" t="s">
        <v>53</v>
      </c>
      <c r="C385">
        <v>1</v>
      </c>
      <c r="D385" s="10">
        <v>423000</v>
      </c>
      <c r="E385" s="10">
        <f t="shared" si="10"/>
        <v>0</v>
      </c>
      <c r="F385" s="11">
        <f t="shared" si="11"/>
        <v>0</v>
      </c>
      <c r="G385">
        <v>1</v>
      </c>
      <c r="H385" s="9">
        <v>46041</v>
      </c>
    </row>
    <row r="386" spans="1:8">
      <c r="A386" s="9">
        <v>46042</v>
      </c>
      <c r="B386" t="s">
        <v>54</v>
      </c>
      <c r="C386">
        <v>2</v>
      </c>
      <c r="D386" s="10">
        <v>423500</v>
      </c>
      <c r="E386" s="10">
        <f t="shared" si="10"/>
        <v>500</v>
      </c>
      <c r="F386" s="11">
        <f t="shared" si="11"/>
        <v>1.1820330969267139E-3</v>
      </c>
      <c r="G386">
        <v>1</v>
      </c>
      <c r="H386" s="9">
        <v>46042</v>
      </c>
    </row>
    <row r="387" spans="1:8">
      <c r="A387" s="9">
        <v>46043</v>
      </c>
      <c r="B387" t="s">
        <v>49</v>
      </c>
      <c r="C387">
        <v>3</v>
      </c>
      <c r="D387" s="10">
        <v>422500</v>
      </c>
      <c r="E387" s="10">
        <f t="shared" ref="E387:E450" si="12">D387-D386</f>
        <v>-1000</v>
      </c>
      <c r="F387" s="11">
        <f t="shared" ref="F387:F450" si="13">IFERROR(E387/D386,0)</f>
        <v>-2.3612750885478157E-3</v>
      </c>
      <c r="G387">
        <v>1</v>
      </c>
      <c r="H387" s="9">
        <v>46043</v>
      </c>
    </row>
    <row r="388" spans="1:8">
      <c r="A388" s="9">
        <v>46044</v>
      </c>
      <c r="B388" t="s">
        <v>50</v>
      </c>
      <c r="C388">
        <v>4</v>
      </c>
      <c r="D388" s="10">
        <v>422000</v>
      </c>
      <c r="E388" s="10">
        <f t="shared" si="12"/>
        <v>-500</v>
      </c>
      <c r="F388" s="11">
        <f t="shared" si="13"/>
        <v>-1.1834319526627219E-3</v>
      </c>
      <c r="G388">
        <v>1</v>
      </c>
      <c r="H388" s="9">
        <v>46044</v>
      </c>
    </row>
    <row r="389" spans="1:8">
      <c r="A389" s="9">
        <v>46045</v>
      </c>
      <c r="B389" t="s">
        <v>51</v>
      </c>
      <c r="C389">
        <v>5</v>
      </c>
      <c r="D389" s="10">
        <v>421500</v>
      </c>
      <c r="E389" s="10">
        <f t="shared" si="12"/>
        <v>-500</v>
      </c>
      <c r="F389" s="11">
        <f t="shared" si="13"/>
        <v>-1.1848341232227489E-3</v>
      </c>
      <c r="G389">
        <v>1</v>
      </c>
      <c r="H389" s="9">
        <v>46045</v>
      </c>
    </row>
    <row r="390" spans="1:8">
      <c r="A390" s="9">
        <v>46046</v>
      </c>
      <c r="B390" t="s">
        <v>52</v>
      </c>
      <c r="C390">
        <v>6</v>
      </c>
      <c r="D390" s="10">
        <v>421000</v>
      </c>
      <c r="E390" s="10">
        <f t="shared" si="12"/>
        <v>-500</v>
      </c>
      <c r="F390" s="11">
        <f t="shared" si="13"/>
        <v>-1.1862396204033216E-3</v>
      </c>
      <c r="G390">
        <v>1</v>
      </c>
      <c r="H390" s="9">
        <v>46046</v>
      </c>
    </row>
    <row r="391" spans="1:8">
      <c r="A391" s="9">
        <v>46047</v>
      </c>
      <c r="B391" t="s">
        <v>55</v>
      </c>
      <c r="C391">
        <v>7</v>
      </c>
      <c r="D391" s="10">
        <v>421000</v>
      </c>
      <c r="E391" s="10">
        <f t="shared" si="12"/>
        <v>0</v>
      </c>
      <c r="F391" s="11">
        <f t="shared" si="13"/>
        <v>0</v>
      </c>
      <c r="G391">
        <v>0</v>
      </c>
      <c r="H391" s="9">
        <v>46046</v>
      </c>
    </row>
    <row r="392" spans="1:8">
      <c r="A392" s="9">
        <v>46048</v>
      </c>
      <c r="B392" t="s">
        <v>53</v>
      </c>
      <c r="C392">
        <v>1</v>
      </c>
      <c r="D392" s="10">
        <v>421000</v>
      </c>
      <c r="E392" s="10">
        <f t="shared" si="12"/>
        <v>0</v>
      </c>
      <c r="F392" s="11">
        <f t="shared" si="13"/>
        <v>0</v>
      </c>
      <c r="G392">
        <v>1</v>
      </c>
      <c r="H392" s="9">
        <v>46048</v>
      </c>
    </row>
    <row r="393" spans="1:8">
      <c r="A393" s="9">
        <v>46049</v>
      </c>
      <c r="B393" t="s">
        <v>54</v>
      </c>
      <c r="C393">
        <v>2</v>
      </c>
      <c r="D393" s="10">
        <v>421500</v>
      </c>
      <c r="E393" s="10">
        <f t="shared" si="12"/>
        <v>500</v>
      </c>
      <c r="F393" s="11">
        <f t="shared" si="13"/>
        <v>1.1876484560570072E-3</v>
      </c>
      <c r="G393">
        <v>1</v>
      </c>
      <c r="H393" s="9">
        <v>46049</v>
      </c>
    </row>
    <row r="394" spans="1:8">
      <c r="A394" s="9">
        <v>46050</v>
      </c>
      <c r="B394" t="s">
        <v>49</v>
      </c>
      <c r="C394">
        <v>3</v>
      </c>
      <c r="D394" s="10">
        <v>421500</v>
      </c>
      <c r="E394" s="10">
        <f t="shared" si="12"/>
        <v>0</v>
      </c>
      <c r="F394" s="11">
        <f t="shared" si="13"/>
        <v>0</v>
      </c>
      <c r="G394">
        <v>1</v>
      </c>
      <c r="H394" s="9">
        <v>46050</v>
      </c>
    </row>
    <row r="395" spans="1:8">
      <c r="A395" s="9">
        <v>46051</v>
      </c>
      <c r="B395" t="s">
        <v>50</v>
      </c>
      <c r="C395">
        <v>4</v>
      </c>
      <c r="D395" s="10">
        <v>422500</v>
      </c>
      <c r="E395" s="10">
        <f t="shared" si="12"/>
        <v>1000</v>
      </c>
      <c r="F395" s="11">
        <f t="shared" si="13"/>
        <v>2.3724792408066431E-3</v>
      </c>
      <c r="G395">
        <v>1</v>
      </c>
      <c r="H395" s="9">
        <v>46051</v>
      </c>
    </row>
    <row r="396" spans="1:8">
      <c r="A396" s="9">
        <v>46052</v>
      </c>
      <c r="B396" t="s">
        <v>51</v>
      </c>
      <c r="C396">
        <v>5</v>
      </c>
      <c r="D396" s="10">
        <v>423000</v>
      </c>
      <c r="E396" s="10">
        <f t="shared" si="12"/>
        <v>500</v>
      </c>
      <c r="F396" s="11">
        <f t="shared" si="13"/>
        <v>1.1834319526627219E-3</v>
      </c>
      <c r="G396">
        <v>1</v>
      </c>
      <c r="H396" s="9">
        <v>46052</v>
      </c>
    </row>
    <row r="397" spans="1:8">
      <c r="A397" s="9">
        <v>46053</v>
      </c>
      <c r="B397" t="s">
        <v>52</v>
      </c>
      <c r="C397">
        <v>6</v>
      </c>
      <c r="D397" s="10">
        <v>423500</v>
      </c>
      <c r="E397" s="10">
        <f t="shared" si="12"/>
        <v>500</v>
      </c>
      <c r="F397" s="11">
        <f t="shared" si="13"/>
        <v>1.1820330969267139E-3</v>
      </c>
      <c r="G397">
        <v>1</v>
      </c>
      <c r="H397" s="9">
        <v>46053</v>
      </c>
    </row>
    <row r="398" spans="1:8">
      <c r="A398" s="9">
        <v>46054</v>
      </c>
      <c r="B398" t="s">
        <v>55</v>
      </c>
      <c r="C398">
        <v>7</v>
      </c>
      <c r="D398" s="10">
        <v>423500</v>
      </c>
      <c r="E398" s="10">
        <f t="shared" si="12"/>
        <v>0</v>
      </c>
      <c r="F398" s="11">
        <f t="shared" si="13"/>
        <v>0</v>
      </c>
      <c r="G398">
        <v>0</v>
      </c>
      <c r="H398" s="9">
        <v>46053</v>
      </c>
    </row>
    <row r="399" spans="1:8">
      <c r="A399" s="9">
        <v>46055</v>
      </c>
      <c r="B399" t="s">
        <v>53</v>
      </c>
      <c r="C399">
        <v>1</v>
      </c>
      <c r="D399" s="10">
        <v>423000</v>
      </c>
      <c r="E399" s="10">
        <f t="shared" si="12"/>
        <v>-500</v>
      </c>
      <c r="F399" s="11">
        <f t="shared" si="13"/>
        <v>-1.1806375442739079E-3</v>
      </c>
      <c r="G399">
        <v>1</v>
      </c>
      <c r="H399" s="9">
        <v>46055</v>
      </c>
    </row>
    <row r="400" spans="1:8">
      <c r="A400" s="9">
        <v>46056</v>
      </c>
      <c r="B400" t="s">
        <v>54</v>
      </c>
      <c r="C400">
        <v>2</v>
      </c>
      <c r="D400" s="10">
        <v>423500</v>
      </c>
      <c r="E400" s="10">
        <f t="shared" si="12"/>
        <v>500</v>
      </c>
      <c r="F400" s="11">
        <f t="shared" si="13"/>
        <v>1.1820330969267139E-3</v>
      </c>
      <c r="G400">
        <v>1</v>
      </c>
      <c r="H400" s="9">
        <v>46056</v>
      </c>
    </row>
    <row r="401" spans="1:8">
      <c r="A401" s="9">
        <v>46057</v>
      </c>
      <c r="B401" t="s">
        <v>49</v>
      </c>
      <c r="C401">
        <v>3</v>
      </c>
      <c r="D401" s="10">
        <v>423500</v>
      </c>
      <c r="E401" s="10">
        <f t="shared" si="12"/>
        <v>0</v>
      </c>
      <c r="F401" s="11">
        <f t="shared" si="13"/>
        <v>0</v>
      </c>
      <c r="G401">
        <v>1</v>
      </c>
      <c r="H401" s="9">
        <v>46057</v>
      </c>
    </row>
    <row r="402" spans="1:8">
      <c r="A402" s="9">
        <v>46058</v>
      </c>
      <c r="B402" t="s">
        <v>50</v>
      </c>
      <c r="C402">
        <v>4</v>
      </c>
      <c r="D402" s="10">
        <v>423000</v>
      </c>
      <c r="E402" s="10">
        <f t="shared" si="12"/>
        <v>-500</v>
      </c>
      <c r="F402" s="11">
        <f t="shared" si="13"/>
        <v>-1.1806375442739079E-3</v>
      </c>
      <c r="G402">
        <v>1</v>
      </c>
      <c r="H402" s="9">
        <v>46058</v>
      </c>
    </row>
    <row r="403" spans="1:8">
      <c r="A403" s="9">
        <v>46059</v>
      </c>
      <c r="B403" t="s">
        <v>51</v>
      </c>
      <c r="C403">
        <v>5</v>
      </c>
      <c r="D403" s="10">
        <v>423000</v>
      </c>
      <c r="E403" s="10">
        <f t="shared" si="12"/>
        <v>0</v>
      </c>
      <c r="F403" s="11">
        <f t="shared" si="13"/>
        <v>0</v>
      </c>
      <c r="G403">
        <v>1</v>
      </c>
      <c r="H403" s="9">
        <v>46059</v>
      </c>
    </row>
    <row r="404" spans="1:8">
      <c r="A404" s="9">
        <v>46060</v>
      </c>
      <c r="B404" t="s">
        <v>52</v>
      </c>
      <c r="C404">
        <v>6</v>
      </c>
      <c r="D404" s="10">
        <v>423000</v>
      </c>
      <c r="E404" s="10">
        <f t="shared" si="12"/>
        <v>0</v>
      </c>
      <c r="F404" s="11">
        <f t="shared" si="13"/>
        <v>0</v>
      </c>
      <c r="G404">
        <v>1</v>
      </c>
      <c r="H404" s="9">
        <v>46060</v>
      </c>
    </row>
    <row r="405" spans="1:8">
      <c r="A405" s="9">
        <v>46061</v>
      </c>
      <c r="B405" t="s">
        <v>55</v>
      </c>
      <c r="C405">
        <v>7</v>
      </c>
      <c r="D405" s="10">
        <v>423000</v>
      </c>
      <c r="E405" s="10">
        <f t="shared" si="12"/>
        <v>0</v>
      </c>
      <c r="F405" s="11">
        <f t="shared" si="13"/>
        <v>0</v>
      </c>
      <c r="G405">
        <v>0</v>
      </c>
      <c r="H405" s="9">
        <v>46060</v>
      </c>
    </row>
    <row r="406" spans="1:8">
      <c r="A406" s="9">
        <v>46062</v>
      </c>
      <c r="B406" t="s">
        <v>53</v>
      </c>
      <c r="C406">
        <v>1</v>
      </c>
      <c r="D406" s="10">
        <v>423000</v>
      </c>
      <c r="E406" s="10">
        <f t="shared" si="12"/>
        <v>0</v>
      </c>
      <c r="F406" s="11">
        <f t="shared" si="13"/>
        <v>0</v>
      </c>
      <c r="G406">
        <v>1</v>
      </c>
      <c r="H406" s="9">
        <v>46062</v>
      </c>
    </row>
    <row r="407" spans="1:8">
      <c r="A407" s="9">
        <v>46063</v>
      </c>
      <c r="B407" t="s">
        <v>54</v>
      </c>
      <c r="C407">
        <v>2</v>
      </c>
      <c r="D407" s="10">
        <v>422500</v>
      </c>
      <c r="E407" s="10">
        <f t="shared" si="12"/>
        <v>-500</v>
      </c>
      <c r="F407" s="11">
        <f t="shared" si="13"/>
        <v>-1.1820330969267139E-3</v>
      </c>
      <c r="G407">
        <v>1</v>
      </c>
      <c r="H407" s="9">
        <v>46063</v>
      </c>
    </row>
    <row r="408" spans="1:8">
      <c r="A408" s="9">
        <v>46064</v>
      </c>
      <c r="B408" t="s">
        <v>49</v>
      </c>
      <c r="C408">
        <v>3</v>
      </c>
      <c r="D408" s="10">
        <v>423500</v>
      </c>
      <c r="E408" s="10">
        <f t="shared" si="12"/>
        <v>1000</v>
      </c>
      <c r="F408" s="11">
        <f t="shared" si="13"/>
        <v>2.3668639053254438E-3</v>
      </c>
      <c r="G408">
        <v>1</v>
      </c>
      <c r="H408" s="9">
        <v>46064</v>
      </c>
    </row>
    <row r="409" spans="1:8">
      <c r="A409" s="9">
        <v>46065</v>
      </c>
      <c r="B409" t="s">
        <v>50</v>
      </c>
      <c r="C409">
        <v>4</v>
      </c>
      <c r="D409" s="10">
        <v>423000</v>
      </c>
      <c r="E409" s="10">
        <f t="shared" si="12"/>
        <v>-500</v>
      </c>
      <c r="F409" s="11">
        <f t="shared" si="13"/>
        <v>-1.1806375442739079E-3</v>
      </c>
      <c r="G409">
        <v>1</v>
      </c>
      <c r="H409" s="9">
        <v>46065</v>
      </c>
    </row>
    <row r="410" spans="1:8">
      <c r="A410" s="9">
        <v>46066</v>
      </c>
      <c r="B410" t="s">
        <v>51</v>
      </c>
      <c r="C410">
        <v>5</v>
      </c>
      <c r="D410" s="10">
        <v>423500</v>
      </c>
      <c r="E410" s="10">
        <f t="shared" si="12"/>
        <v>500</v>
      </c>
      <c r="F410" s="11">
        <f t="shared" si="13"/>
        <v>1.1820330969267139E-3</v>
      </c>
      <c r="G410">
        <v>1</v>
      </c>
      <c r="H410" s="9">
        <v>46066</v>
      </c>
    </row>
    <row r="411" spans="1:8">
      <c r="A411" s="9">
        <v>46067</v>
      </c>
      <c r="B411" t="s">
        <v>52</v>
      </c>
      <c r="C411">
        <v>6</v>
      </c>
      <c r="D411" s="10">
        <v>424000</v>
      </c>
      <c r="E411" s="10">
        <f t="shared" si="12"/>
        <v>500</v>
      </c>
      <c r="F411" s="11">
        <f t="shared" si="13"/>
        <v>1.1806375442739079E-3</v>
      </c>
      <c r="G411">
        <v>1</v>
      </c>
      <c r="H411" s="9">
        <v>46067</v>
      </c>
    </row>
    <row r="412" spans="1:8">
      <c r="A412" s="9">
        <v>46068</v>
      </c>
      <c r="B412" t="s">
        <v>55</v>
      </c>
      <c r="C412">
        <v>7</v>
      </c>
      <c r="D412" s="10">
        <v>424000</v>
      </c>
      <c r="E412" s="10">
        <f t="shared" si="12"/>
        <v>0</v>
      </c>
      <c r="F412" s="11">
        <f t="shared" si="13"/>
        <v>0</v>
      </c>
      <c r="G412">
        <v>0</v>
      </c>
      <c r="H412" s="9">
        <v>46067</v>
      </c>
    </row>
    <row r="413" spans="1:8">
      <c r="A413" s="9">
        <v>46069</v>
      </c>
      <c r="B413" t="s">
        <v>53</v>
      </c>
      <c r="C413">
        <v>1</v>
      </c>
      <c r="D413" s="10">
        <v>424500</v>
      </c>
      <c r="E413" s="10">
        <f t="shared" si="12"/>
        <v>500</v>
      </c>
      <c r="F413" s="11">
        <f t="shared" si="13"/>
        <v>1.1792452830188679E-3</v>
      </c>
      <c r="G413">
        <v>1</v>
      </c>
      <c r="H413" s="9">
        <v>46069</v>
      </c>
    </row>
    <row r="414" spans="1:8">
      <c r="A414" s="9">
        <v>46070</v>
      </c>
      <c r="B414" t="s">
        <v>54</v>
      </c>
      <c r="C414">
        <v>2</v>
      </c>
      <c r="D414" s="10">
        <v>425000</v>
      </c>
      <c r="E414" s="10">
        <f t="shared" si="12"/>
        <v>500</v>
      </c>
      <c r="F414" s="11">
        <f t="shared" si="13"/>
        <v>1.1778563015312131E-3</v>
      </c>
      <c r="G414">
        <v>1</v>
      </c>
      <c r="H414" s="9">
        <v>46070</v>
      </c>
    </row>
    <row r="415" spans="1:8">
      <c r="A415" s="9">
        <v>46071</v>
      </c>
      <c r="B415" t="s">
        <v>49</v>
      </c>
      <c r="C415">
        <v>3</v>
      </c>
      <c r="D415" s="10">
        <v>425000</v>
      </c>
      <c r="E415" s="10">
        <f t="shared" si="12"/>
        <v>0</v>
      </c>
      <c r="F415" s="11">
        <f t="shared" si="13"/>
        <v>0</v>
      </c>
      <c r="G415">
        <v>1</v>
      </c>
      <c r="H415" s="9">
        <v>46071</v>
      </c>
    </row>
    <row r="416" spans="1:8">
      <c r="A416" s="9">
        <v>46072</v>
      </c>
      <c r="B416" t="s">
        <v>50</v>
      </c>
      <c r="C416">
        <v>4</v>
      </c>
      <c r="D416" s="10">
        <v>425500</v>
      </c>
      <c r="E416" s="10">
        <f t="shared" si="12"/>
        <v>500</v>
      </c>
      <c r="F416" s="11">
        <f t="shared" si="13"/>
        <v>1.176470588235294E-3</v>
      </c>
      <c r="G416">
        <v>1</v>
      </c>
      <c r="H416" s="9">
        <v>46072</v>
      </c>
    </row>
    <row r="417" spans="1:8">
      <c r="A417" s="9">
        <v>46073</v>
      </c>
      <c r="B417" t="s">
        <v>51</v>
      </c>
      <c r="C417">
        <v>5</v>
      </c>
      <c r="D417" s="10">
        <v>424500</v>
      </c>
      <c r="E417" s="10">
        <f t="shared" si="12"/>
        <v>-1000</v>
      </c>
      <c r="F417" s="11">
        <f t="shared" si="13"/>
        <v>-2.3501762632197414E-3</v>
      </c>
      <c r="G417">
        <v>1</v>
      </c>
      <c r="H417" s="9">
        <v>46073</v>
      </c>
    </row>
    <row r="418" spans="1:8">
      <c r="A418" s="9">
        <v>46074</v>
      </c>
      <c r="B418" t="s">
        <v>52</v>
      </c>
      <c r="C418">
        <v>6</v>
      </c>
      <c r="D418" s="10">
        <v>424000</v>
      </c>
      <c r="E418" s="10">
        <f t="shared" si="12"/>
        <v>-500</v>
      </c>
      <c r="F418" s="11">
        <f t="shared" si="13"/>
        <v>-1.1778563015312131E-3</v>
      </c>
      <c r="G418">
        <v>1</v>
      </c>
      <c r="H418" s="9">
        <v>46074</v>
      </c>
    </row>
    <row r="419" spans="1:8">
      <c r="A419" s="9">
        <v>46075</v>
      </c>
      <c r="B419" t="s">
        <v>55</v>
      </c>
      <c r="C419">
        <v>7</v>
      </c>
      <c r="D419" s="10">
        <v>424000</v>
      </c>
      <c r="E419" s="10">
        <f t="shared" si="12"/>
        <v>0</v>
      </c>
      <c r="F419" s="11">
        <f t="shared" si="13"/>
        <v>0</v>
      </c>
      <c r="G419">
        <v>0</v>
      </c>
      <c r="H419" s="9">
        <v>46074</v>
      </c>
    </row>
    <row r="420" spans="1:8">
      <c r="A420" s="9">
        <v>46076</v>
      </c>
      <c r="B420" t="s">
        <v>53</v>
      </c>
      <c r="C420">
        <v>1</v>
      </c>
      <c r="D420" s="10">
        <v>424500</v>
      </c>
      <c r="E420" s="10">
        <f t="shared" si="12"/>
        <v>500</v>
      </c>
      <c r="F420" s="11">
        <f t="shared" si="13"/>
        <v>1.1792452830188679E-3</v>
      </c>
      <c r="G420">
        <v>1</v>
      </c>
      <c r="H420" s="9">
        <v>46076</v>
      </c>
    </row>
    <row r="421" spans="1:8">
      <c r="A421" s="9">
        <v>46077</v>
      </c>
      <c r="B421" t="s">
        <v>54</v>
      </c>
      <c r="C421">
        <v>2</v>
      </c>
      <c r="D421" s="10">
        <v>424500</v>
      </c>
      <c r="E421" s="10">
        <f t="shared" si="12"/>
        <v>0</v>
      </c>
      <c r="F421" s="11">
        <f t="shared" si="13"/>
        <v>0</v>
      </c>
      <c r="G421">
        <v>1</v>
      </c>
      <c r="H421" s="9">
        <v>46077</v>
      </c>
    </row>
    <row r="422" spans="1:8">
      <c r="A422" s="9">
        <v>46078</v>
      </c>
      <c r="B422" t="s">
        <v>49</v>
      </c>
      <c r="C422">
        <v>3</v>
      </c>
      <c r="D422" s="10">
        <v>425000</v>
      </c>
      <c r="E422" s="10">
        <f t="shared" si="12"/>
        <v>500</v>
      </c>
      <c r="F422" s="11">
        <f t="shared" si="13"/>
        <v>1.1778563015312131E-3</v>
      </c>
      <c r="G422">
        <v>1</v>
      </c>
      <c r="H422" s="9">
        <v>46078</v>
      </c>
    </row>
    <row r="423" spans="1:8">
      <c r="A423" s="9">
        <v>46079</v>
      </c>
      <c r="B423" t="s">
        <v>50</v>
      </c>
      <c r="C423">
        <v>4</v>
      </c>
      <c r="D423" s="10">
        <v>425500</v>
      </c>
      <c r="E423" s="10">
        <f t="shared" si="12"/>
        <v>500</v>
      </c>
      <c r="F423" s="11">
        <f t="shared" si="13"/>
        <v>1.176470588235294E-3</v>
      </c>
      <c r="G423">
        <v>1</v>
      </c>
      <c r="H423" s="9">
        <v>46079</v>
      </c>
    </row>
    <row r="424" spans="1:8">
      <c r="A424" s="9">
        <v>46080</v>
      </c>
      <c r="B424" t="s">
        <v>51</v>
      </c>
      <c r="C424">
        <v>5</v>
      </c>
      <c r="D424" s="10">
        <v>425500</v>
      </c>
      <c r="E424" s="10">
        <f t="shared" si="12"/>
        <v>0</v>
      </c>
      <c r="F424" s="11">
        <f t="shared" si="13"/>
        <v>0</v>
      </c>
      <c r="G424">
        <v>1</v>
      </c>
      <c r="H424" s="9">
        <v>46080</v>
      </c>
    </row>
    <row r="425" spans="1:8">
      <c r="A425" s="9">
        <v>46081</v>
      </c>
      <c r="B425" t="s">
        <v>52</v>
      </c>
      <c r="C425">
        <v>6</v>
      </c>
      <c r="D425" s="10">
        <v>425500</v>
      </c>
      <c r="E425" s="10">
        <f t="shared" si="12"/>
        <v>0</v>
      </c>
      <c r="F425" s="11">
        <f t="shared" si="13"/>
        <v>0</v>
      </c>
      <c r="G425">
        <v>1</v>
      </c>
      <c r="H425" s="9">
        <v>46081</v>
      </c>
    </row>
    <row r="426" spans="1:8">
      <c r="A426" s="9">
        <v>46082</v>
      </c>
      <c r="B426" t="s">
        <v>55</v>
      </c>
      <c r="C426">
        <v>7</v>
      </c>
      <c r="D426" s="10">
        <v>425500</v>
      </c>
      <c r="E426" s="10">
        <f t="shared" si="12"/>
        <v>0</v>
      </c>
      <c r="F426" s="11">
        <f t="shared" si="13"/>
        <v>0</v>
      </c>
      <c r="G426">
        <v>0</v>
      </c>
      <c r="H426" s="9">
        <v>46081</v>
      </c>
    </row>
    <row r="427" spans="1:8">
      <c r="A427" s="9">
        <v>46083</v>
      </c>
      <c r="B427" t="s">
        <v>53</v>
      </c>
      <c r="C427">
        <v>1</v>
      </c>
      <c r="D427" s="10">
        <v>426000</v>
      </c>
      <c r="E427" s="10">
        <f t="shared" si="12"/>
        <v>500</v>
      </c>
      <c r="F427" s="11">
        <f t="shared" si="13"/>
        <v>1.1750881316098707E-3</v>
      </c>
      <c r="G427">
        <v>1</v>
      </c>
      <c r="H427" s="9">
        <v>46083</v>
      </c>
    </row>
    <row r="428" spans="1:8">
      <c r="A428" s="9">
        <v>46084</v>
      </c>
      <c r="B428" t="s">
        <v>54</v>
      </c>
      <c r="C428">
        <v>2</v>
      </c>
      <c r="D428" s="10">
        <v>426500</v>
      </c>
      <c r="E428" s="10">
        <f t="shared" si="12"/>
        <v>500</v>
      </c>
      <c r="F428" s="11">
        <f t="shared" si="13"/>
        <v>1.1737089201877935E-3</v>
      </c>
      <c r="G428">
        <v>1</v>
      </c>
      <c r="H428" s="9">
        <v>46084</v>
      </c>
    </row>
    <row r="429" spans="1:8">
      <c r="A429" s="9">
        <v>46085</v>
      </c>
      <c r="B429" t="s">
        <v>49</v>
      </c>
      <c r="C429">
        <v>3</v>
      </c>
      <c r="D429" s="10">
        <v>426500</v>
      </c>
      <c r="E429" s="10">
        <f t="shared" si="12"/>
        <v>0</v>
      </c>
      <c r="F429" s="11">
        <f t="shared" si="13"/>
        <v>0</v>
      </c>
      <c r="G429">
        <v>1</v>
      </c>
      <c r="H429" s="9">
        <v>46085</v>
      </c>
    </row>
    <row r="430" spans="1:8">
      <c r="A430" s="9">
        <v>46086</v>
      </c>
      <c r="B430" t="s">
        <v>50</v>
      </c>
      <c r="C430">
        <v>4</v>
      </c>
      <c r="D430" s="10">
        <v>427500</v>
      </c>
      <c r="E430" s="10">
        <f t="shared" si="12"/>
        <v>1000</v>
      </c>
      <c r="F430" s="11">
        <f t="shared" si="13"/>
        <v>2.3446658851113715E-3</v>
      </c>
      <c r="G430">
        <v>1</v>
      </c>
      <c r="H430" s="9">
        <v>46086</v>
      </c>
    </row>
    <row r="431" spans="1:8">
      <c r="A431" s="9">
        <v>46087</v>
      </c>
      <c r="B431" t="s">
        <v>51</v>
      </c>
      <c r="C431">
        <v>5</v>
      </c>
      <c r="D431" s="10">
        <v>427500</v>
      </c>
      <c r="E431" s="10">
        <f t="shared" si="12"/>
        <v>0</v>
      </c>
      <c r="F431" s="11">
        <f t="shared" si="13"/>
        <v>0</v>
      </c>
      <c r="G431">
        <v>1</v>
      </c>
      <c r="H431" s="9">
        <v>46087</v>
      </c>
    </row>
    <row r="432" spans="1:8">
      <c r="A432" s="9">
        <v>46088</v>
      </c>
      <c r="B432" t="s">
        <v>52</v>
      </c>
      <c r="C432">
        <v>6</v>
      </c>
      <c r="D432" s="10">
        <v>428000</v>
      </c>
      <c r="E432" s="10">
        <f t="shared" si="12"/>
        <v>500</v>
      </c>
      <c r="F432" s="11">
        <f t="shared" si="13"/>
        <v>1.1695906432748538E-3</v>
      </c>
      <c r="G432">
        <v>1</v>
      </c>
      <c r="H432" s="9">
        <v>46088</v>
      </c>
    </row>
    <row r="433" spans="1:8">
      <c r="A433" s="9">
        <v>46089</v>
      </c>
      <c r="B433" t="s">
        <v>55</v>
      </c>
      <c r="C433">
        <v>7</v>
      </c>
      <c r="D433" s="10">
        <v>428000</v>
      </c>
      <c r="E433" s="10">
        <f t="shared" si="12"/>
        <v>0</v>
      </c>
      <c r="F433" s="11">
        <f t="shared" si="13"/>
        <v>0</v>
      </c>
      <c r="G433">
        <v>0</v>
      </c>
      <c r="H433" s="9">
        <v>46088</v>
      </c>
    </row>
    <row r="434" spans="1:8">
      <c r="A434" s="9">
        <v>46090</v>
      </c>
      <c r="B434" t="s">
        <v>53</v>
      </c>
      <c r="C434">
        <v>1</v>
      </c>
      <c r="D434" s="10">
        <v>428500</v>
      </c>
      <c r="E434" s="10">
        <f t="shared" si="12"/>
        <v>500</v>
      </c>
      <c r="F434" s="11">
        <f t="shared" si="13"/>
        <v>1.1682242990654205E-3</v>
      </c>
      <c r="G434">
        <v>1</v>
      </c>
      <c r="H434" s="9">
        <v>46090</v>
      </c>
    </row>
    <row r="435" spans="1:8">
      <c r="A435" s="9">
        <v>46091</v>
      </c>
      <c r="B435" t="s">
        <v>54</v>
      </c>
      <c r="C435">
        <v>2</v>
      </c>
      <c r="D435" s="10">
        <v>428500</v>
      </c>
      <c r="E435" s="10">
        <f t="shared" si="12"/>
        <v>0</v>
      </c>
      <c r="F435" s="11">
        <f t="shared" si="13"/>
        <v>0</v>
      </c>
      <c r="G435">
        <v>1</v>
      </c>
      <c r="H435" s="9">
        <v>46091</v>
      </c>
    </row>
    <row r="436" spans="1:8">
      <c r="A436" s="9">
        <v>46092</v>
      </c>
      <c r="B436" t="s">
        <v>49</v>
      </c>
      <c r="C436">
        <v>3</v>
      </c>
      <c r="D436" s="10">
        <v>428000</v>
      </c>
      <c r="E436" s="10">
        <f t="shared" si="12"/>
        <v>-500</v>
      </c>
      <c r="F436" s="11">
        <f t="shared" si="13"/>
        <v>-1.1668611435239206E-3</v>
      </c>
      <c r="G436">
        <v>1</v>
      </c>
      <c r="H436" s="9">
        <v>46092</v>
      </c>
    </row>
    <row r="437" spans="1:8">
      <c r="A437" s="9">
        <v>46093</v>
      </c>
      <c r="B437" t="s">
        <v>50</v>
      </c>
      <c r="C437">
        <v>4</v>
      </c>
      <c r="D437" s="10">
        <v>427500</v>
      </c>
      <c r="E437" s="10">
        <f t="shared" si="12"/>
        <v>-500</v>
      </c>
      <c r="F437" s="11">
        <f t="shared" si="13"/>
        <v>-1.1682242990654205E-3</v>
      </c>
      <c r="G437">
        <v>1</v>
      </c>
      <c r="H437" s="9">
        <v>46093</v>
      </c>
    </row>
    <row r="438" spans="1:8">
      <c r="A438" s="9">
        <v>46094</v>
      </c>
      <c r="B438" t="s">
        <v>51</v>
      </c>
      <c r="C438">
        <v>5</v>
      </c>
      <c r="D438" s="10">
        <v>427500</v>
      </c>
      <c r="E438" s="10">
        <f t="shared" si="12"/>
        <v>0</v>
      </c>
      <c r="F438" s="11">
        <f t="shared" si="13"/>
        <v>0</v>
      </c>
      <c r="G438">
        <v>1</v>
      </c>
      <c r="H438" s="9">
        <v>46094</v>
      </c>
    </row>
    <row r="439" spans="1:8">
      <c r="A439" s="9">
        <v>46095</v>
      </c>
      <c r="B439" t="s">
        <v>52</v>
      </c>
      <c r="C439">
        <v>6</v>
      </c>
      <c r="D439" s="10">
        <v>427500</v>
      </c>
      <c r="E439" s="10">
        <f t="shared" si="12"/>
        <v>0</v>
      </c>
      <c r="F439" s="11">
        <f t="shared" si="13"/>
        <v>0</v>
      </c>
      <c r="G439">
        <v>1</v>
      </c>
      <c r="H439" s="9">
        <v>46095</v>
      </c>
    </row>
    <row r="440" spans="1:8">
      <c r="A440" s="9">
        <v>46096</v>
      </c>
      <c r="B440" t="s">
        <v>55</v>
      </c>
      <c r="C440">
        <v>7</v>
      </c>
      <c r="D440" s="10">
        <v>427500</v>
      </c>
      <c r="E440" s="10">
        <f t="shared" si="12"/>
        <v>0</v>
      </c>
      <c r="F440" s="11">
        <f t="shared" si="13"/>
        <v>0</v>
      </c>
      <c r="G440">
        <v>0</v>
      </c>
      <c r="H440" s="9">
        <v>46095</v>
      </c>
    </row>
    <row r="441" spans="1:8">
      <c r="A441" s="9">
        <v>46097</v>
      </c>
      <c r="B441" t="s">
        <v>53</v>
      </c>
      <c r="C441">
        <v>1</v>
      </c>
      <c r="D441" s="10">
        <v>427000</v>
      </c>
      <c r="E441" s="10">
        <f t="shared" si="12"/>
        <v>-500</v>
      </c>
      <c r="F441" s="11">
        <f t="shared" si="13"/>
        <v>-1.1695906432748538E-3</v>
      </c>
      <c r="G441">
        <v>1</v>
      </c>
      <c r="H441" s="9">
        <v>46097</v>
      </c>
    </row>
    <row r="442" spans="1:8">
      <c r="A442" s="9">
        <v>46098</v>
      </c>
      <c r="B442" t="s">
        <v>54</v>
      </c>
      <c r="C442">
        <v>2</v>
      </c>
      <c r="D442" s="10">
        <v>427500</v>
      </c>
      <c r="E442" s="10">
        <f t="shared" si="12"/>
        <v>500</v>
      </c>
      <c r="F442" s="11">
        <f t="shared" si="13"/>
        <v>1.17096018735363E-3</v>
      </c>
      <c r="G442">
        <v>1</v>
      </c>
      <c r="H442" s="9">
        <v>46098</v>
      </c>
    </row>
    <row r="443" spans="1:8">
      <c r="A443" s="9">
        <v>46099</v>
      </c>
      <c r="B443" t="s">
        <v>49</v>
      </c>
      <c r="C443">
        <v>3</v>
      </c>
      <c r="D443" s="10">
        <v>427500</v>
      </c>
      <c r="E443" s="10">
        <f t="shared" si="12"/>
        <v>0</v>
      </c>
      <c r="F443" s="11">
        <f t="shared" si="13"/>
        <v>0</v>
      </c>
      <c r="G443">
        <v>1</v>
      </c>
      <c r="H443" s="9">
        <v>46099</v>
      </c>
    </row>
    <row r="444" spans="1:8">
      <c r="A444" s="9">
        <v>46100</v>
      </c>
      <c r="B444" t="s">
        <v>50</v>
      </c>
      <c r="C444">
        <v>4</v>
      </c>
      <c r="D444" s="10">
        <v>428000</v>
      </c>
      <c r="E444" s="10">
        <f t="shared" si="12"/>
        <v>500</v>
      </c>
      <c r="F444" s="11">
        <f t="shared" si="13"/>
        <v>1.1695906432748538E-3</v>
      </c>
      <c r="G444">
        <v>1</v>
      </c>
      <c r="H444" s="9">
        <v>46100</v>
      </c>
    </row>
    <row r="445" spans="1:8">
      <c r="A445" s="9">
        <v>46101</v>
      </c>
      <c r="B445" t="s">
        <v>51</v>
      </c>
      <c r="C445">
        <v>5</v>
      </c>
      <c r="D445" s="10">
        <v>428500</v>
      </c>
      <c r="E445" s="10">
        <f t="shared" si="12"/>
        <v>500</v>
      </c>
      <c r="F445" s="11">
        <f t="shared" si="13"/>
        <v>1.1682242990654205E-3</v>
      </c>
      <c r="G445">
        <v>1</v>
      </c>
      <c r="H445" s="9">
        <v>46101</v>
      </c>
    </row>
    <row r="446" spans="1:8">
      <c r="A446" s="9">
        <v>46102</v>
      </c>
      <c r="B446" t="s">
        <v>52</v>
      </c>
      <c r="C446">
        <v>6</v>
      </c>
      <c r="D446" s="10">
        <v>429000</v>
      </c>
      <c r="E446" s="10">
        <f t="shared" si="12"/>
        <v>500</v>
      </c>
      <c r="F446" s="11">
        <f t="shared" si="13"/>
        <v>1.1668611435239206E-3</v>
      </c>
      <c r="G446">
        <v>1</v>
      </c>
      <c r="H446" s="9">
        <v>46102</v>
      </c>
    </row>
    <row r="447" spans="1:8">
      <c r="A447" s="9">
        <v>46103</v>
      </c>
      <c r="B447" t="s">
        <v>55</v>
      </c>
      <c r="C447">
        <v>7</v>
      </c>
      <c r="D447" s="10">
        <v>429000</v>
      </c>
      <c r="E447" s="10">
        <f t="shared" si="12"/>
        <v>0</v>
      </c>
      <c r="F447" s="11">
        <f t="shared" si="13"/>
        <v>0</v>
      </c>
      <c r="G447">
        <v>0</v>
      </c>
      <c r="H447" s="9">
        <v>46102</v>
      </c>
    </row>
    <row r="448" spans="1:8">
      <c r="A448" s="9">
        <v>46104</v>
      </c>
      <c r="B448" t="s">
        <v>53</v>
      </c>
      <c r="C448">
        <v>1</v>
      </c>
      <c r="D448" s="10">
        <v>430000</v>
      </c>
      <c r="E448" s="10">
        <f t="shared" si="12"/>
        <v>1000</v>
      </c>
      <c r="F448" s="11">
        <f t="shared" si="13"/>
        <v>2.331002331002331E-3</v>
      </c>
      <c r="G448">
        <v>1</v>
      </c>
      <c r="H448" s="9">
        <v>46104</v>
      </c>
    </row>
    <row r="449" spans="1:8">
      <c r="A449" s="9">
        <v>46105</v>
      </c>
      <c r="B449" t="s">
        <v>54</v>
      </c>
      <c r="C449">
        <v>2</v>
      </c>
      <c r="D449" s="10">
        <v>429500</v>
      </c>
      <c r="E449" s="10">
        <f t="shared" si="12"/>
        <v>-500</v>
      </c>
      <c r="F449" s="11">
        <f t="shared" si="13"/>
        <v>-1.1627906976744186E-3</v>
      </c>
      <c r="G449">
        <v>1</v>
      </c>
      <c r="H449" s="9">
        <v>46105</v>
      </c>
    </row>
    <row r="450" spans="1:8">
      <c r="A450" s="9">
        <v>46106</v>
      </c>
      <c r="B450" t="s">
        <v>49</v>
      </c>
      <c r="C450">
        <v>3</v>
      </c>
      <c r="D450" s="10">
        <v>429500</v>
      </c>
      <c r="E450" s="10">
        <f t="shared" si="12"/>
        <v>0</v>
      </c>
      <c r="F450" s="11">
        <f t="shared" si="13"/>
        <v>0</v>
      </c>
      <c r="G450">
        <v>1</v>
      </c>
      <c r="H450" s="9">
        <v>46106</v>
      </c>
    </row>
    <row r="451" spans="1:8">
      <c r="A451" s="9">
        <v>46107</v>
      </c>
      <c r="B451" t="s">
        <v>50</v>
      </c>
      <c r="C451">
        <v>4</v>
      </c>
      <c r="D451" s="10">
        <v>429500</v>
      </c>
      <c r="E451" s="10">
        <f t="shared" ref="E451:E514" si="14">D451-D450</f>
        <v>0</v>
      </c>
      <c r="F451" s="11">
        <f t="shared" ref="F451:F514" si="15">IFERROR(E451/D450,0)</f>
        <v>0</v>
      </c>
      <c r="G451">
        <v>1</v>
      </c>
      <c r="H451" s="9">
        <v>46107</v>
      </c>
    </row>
    <row r="452" spans="1:8">
      <c r="A452" s="9">
        <v>46108</v>
      </c>
      <c r="B452" t="s">
        <v>51</v>
      </c>
      <c r="C452">
        <v>5</v>
      </c>
      <c r="D452" s="10">
        <v>429000</v>
      </c>
      <c r="E452" s="10">
        <f t="shared" si="14"/>
        <v>-500</v>
      </c>
      <c r="F452" s="11">
        <f t="shared" si="15"/>
        <v>-1.1641443538998836E-3</v>
      </c>
      <c r="G452">
        <v>1</v>
      </c>
      <c r="H452" s="9">
        <v>46108</v>
      </c>
    </row>
    <row r="453" spans="1:8">
      <c r="A453" s="9">
        <v>46109</v>
      </c>
      <c r="B453" t="s">
        <v>52</v>
      </c>
      <c r="C453">
        <v>6</v>
      </c>
      <c r="D453" s="10">
        <v>429000</v>
      </c>
      <c r="E453" s="10">
        <f t="shared" si="14"/>
        <v>0</v>
      </c>
      <c r="F453" s="11">
        <f t="shared" si="15"/>
        <v>0</v>
      </c>
      <c r="G453">
        <v>1</v>
      </c>
      <c r="H453" s="9">
        <v>46109</v>
      </c>
    </row>
    <row r="454" spans="1:8">
      <c r="A454" s="9">
        <v>46110</v>
      </c>
      <c r="B454" t="s">
        <v>55</v>
      </c>
      <c r="C454">
        <v>7</v>
      </c>
      <c r="D454" s="10">
        <v>429000</v>
      </c>
      <c r="E454" s="10">
        <f t="shared" si="14"/>
        <v>0</v>
      </c>
      <c r="F454" s="11">
        <f t="shared" si="15"/>
        <v>0</v>
      </c>
      <c r="G454">
        <v>0</v>
      </c>
      <c r="H454" s="9">
        <v>46109</v>
      </c>
    </row>
    <row r="455" spans="1:8">
      <c r="A455" s="9">
        <v>46111</v>
      </c>
      <c r="B455" t="s">
        <v>53</v>
      </c>
      <c r="C455">
        <v>1</v>
      </c>
      <c r="D455" s="10">
        <v>428500</v>
      </c>
      <c r="E455" s="10">
        <f t="shared" si="14"/>
        <v>-500</v>
      </c>
      <c r="F455" s="11">
        <f t="shared" si="15"/>
        <v>-1.1655011655011655E-3</v>
      </c>
      <c r="G455">
        <v>1</v>
      </c>
      <c r="H455" s="9">
        <v>46111</v>
      </c>
    </row>
    <row r="456" spans="1:8">
      <c r="A456" s="9">
        <v>46112</v>
      </c>
      <c r="B456" t="s">
        <v>54</v>
      </c>
      <c r="C456">
        <v>2</v>
      </c>
      <c r="D456" s="10">
        <v>428000</v>
      </c>
      <c r="E456" s="10">
        <f t="shared" si="14"/>
        <v>-500</v>
      </c>
      <c r="F456" s="11">
        <f t="shared" si="15"/>
        <v>-1.1668611435239206E-3</v>
      </c>
      <c r="G456">
        <v>1</v>
      </c>
      <c r="H456" s="9">
        <v>46112</v>
      </c>
    </row>
    <row r="457" spans="1:8">
      <c r="A457" s="9">
        <v>46113</v>
      </c>
      <c r="B457" t="s">
        <v>49</v>
      </c>
      <c r="C457">
        <v>3</v>
      </c>
      <c r="D457" s="10">
        <v>427500</v>
      </c>
      <c r="E457" s="10">
        <f t="shared" si="14"/>
        <v>-500</v>
      </c>
      <c r="F457" s="11">
        <f t="shared" si="15"/>
        <v>-1.1682242990654205E-3</v>
      </c>
      <c r="G457">
        <v>1</v>
      </c>
      <c r="H457" s="9">
        <v>46113</v>
      </c>
    </row>
    <row r="458" spans="1:8">
      <c r="A458" s="9">
        <v>46114</v>
      </c>
      <c r="B458" t="s">
        <v>50</v>
      </c>
      <c r="C458">
        <v>4</v>
      </c>
      <c r="D458" s="10">
        <v>427500</v>
      </c>
      <c r="E458" s="10">
        <f t="shared" si="14"/>
        <v>0</v>
      </c>
      <c r="F458" s="11">
        <f t="shared" si="15"/>
        <v>0</v>
      </c>
      <c r="G458">
        <v>1</v>
      </c>
      <c r="H458" s="9">
        <v>46114</v>
      </c>
    </row>
    <row r="459" spans="1:8">
      <c r="A459" s="9">
        <v>46115</v>
      </c>
      <c r="B459" t="s">
        <v>51</v>
      </c>
      <c r="C459">
        <v>5</v>
      </c>
      <c r="D459" s="10">
        <v>427500</v>
      </c>
      <c r="E459" s="10">
        <f t="shared" si="14"/>
        <v>0</v>
      </c>
      <c r="F459" s="11">
        <f t="shared" si="15"/>
        <v>0</v>
      </c>
      <c r="G459">
        <v>1</v>
      </c>
      <c r="H459" s="9">
        <v>46115</v>
      </c>
    </row>
    <row r="460" spans="1:8">
      <c r="A460" s="9">
        <v>46116</v>
      </c>
      <c r="B460" t="s">
        <v>52</v>
      </c>
      <c r="C460">
        <v>6</v>
      </c>
      <c r="D460" s="10">
        <v>428000</v>
      </c>
      <c r="E460" s="10">
        <f t="shared" si="14"/>
        <v>500</v>
      </c>
      <c r="F460" s="11">
        <f t="shared" si="15"/>
        <v>1.1695906432748538E-3</v>
      </c>
      <c r="G460">
        <v>1</v>
      </c>
      <c r="H460" s="9">
        <v>46116</v>
      </c>
    </row>
    <row r="461" spans="1:8">
      <c r="A461" s="9">
        <v>46117</v>
      </c>
      <c r="B461" t="s">
        <v>55</v>
      </c>
      <c r="C461">
        <v>7</v>
      </c>
      <c r="D461" s="10">
        <v>428000</v>
      </c>
      <c r="E461" s="10">
        <f t="shared" si="14"/>
        <v>0</v>
      </c>
      <c r="F461" s="11">
        <f t="shared" si="15"/>
        <v>0</v>
      </c>
      <c r="G461">
        <v>0</v>
      </c>
      <c r="H461" s="9">
        <v>46116</v>
      </c>
    </row>
    <row r="462" spans="1:8">
      <c r="A462" s="9">
        <v>46118</v>
      </c>
      <c r="B462" t="s">
        <v>53</v>
      </c>
      <c r="C462">
        <v>1</v>
      </c>
      <c r="D462" s="10">
        <v>428000</v>
      </c>
      <c r="E462" s="10">
        <f t="shared" si="14"/>
        <v>0</v>
      </c>
      <c r="F462" s="11">
        <f t="shared" si="15"/>
        <v>0</v>
      </c>
      <c r="G462">
        <v>1</v>
      </c>
      <c r="H462" s="9">
        <v>46118</v>
      </c>
    </row>
    <row r="463" spans="1:8">
      <c r="A463" s="9">
        <v>46119</v>
      </c>
      <c r="B463" t="s">
        <v>54</v>
      </c>
      <c r="C463">
        <v>2</v>
      </c>
      <c r="D463" s="10">
        <v>429000</v>
      </c>
      <c r="E463" s="10">
        <f t="shared" si="14"/>
        <v>1000</v>
      </c>
      <c r="F463" s="11">
        <f t="shared" si="15"/>
        <v>2.3364485981308409E-3</v>
      </c>
      <c r="G463">
        <v>1</v>
      </c>
      <c r="H463" s="9">
        <v>46119</v>
      </c>
    </row>
    <row r="464" spans="1:8">
      <c r="A464" s="9">
        <v>46120</v>
      </c>
      <c r="B464" t="s">
        <v>49</v>
      </c>
      <c r="C464">
        <v>3</v>
      </c>
      <c r="D464" s="10">
        <v>428500</v>
      </c>
      <c r="E464" s="10">
        <f t="shared" si="14"/>
        <v>-500</v>
      </c>
      <c r="F464" s="11">
        <f t="shared" si="15"/>
        <v>-1.1655011655011655E-3</v>
      </c>
      <c r="G464">
        <v>1</v>
      </c>
      <c r="H464" s="9">
        <v>46120</v>
      </c>
    </row>
    <row r="465" spans="1:8">
      <c r="A465" s="9">
        <v>46121</v>
      </c>
      <c r="B465" t="s">
        <v>50</v>
      </c>
      <c r="C465">
        <v>4</v>
      </c>
      <c r="D465" s="10">
        <v>428500</v>
      </c>
      <c r="E465" s="10">
        <f t="shared" si="14"/>
        <v>0</v>
      </c>
      <c r="F465" s="11">
        <f t="shared" si="15"/>
        <v>0</v>
      </c>
      <c r="G465">
        <v>1</v>
      </c>
      <c r="H465" s="9">
        <v>46121</v>
      </c>
    </row>
    <row r="466" spans="1:8">
      <c r="A466" s="9">
        <v>46122</v>
      </c>
      <c r="B466" t="s">
        <v>51</v>
      </c>
      <c r="C466">
        <v>5</v>
      </c>
      <c r="D466" s="10">
        <v>429000</v>
      </c>
      <c r="E466" s="10">
        <f t="shared" si="14"/>
        <v>500</v>
      </c>
      <c r="F466" s="11">
        <f t="shared" si="15"/>
        <v>1.1668611435239206E-3</v>
      </c>
      <c r="G466">
        <v>1</v>
      </c>
      <c r="H466" s="9">
        <v>46122</v>
      </c>
    </row>
    <row r="467" spans="1:8">
      <c r="A467" s="9">
        <v>46123</v>
      </c>
      <c r="B467" t="s">
        <v>52</v>
      </c>
      <c r="C467">
        <v>6</v>
      </c>
      <c r="D467" s="10">
        <v>429000</v>
      </c>
      <c r="E467" s="10">
        <f t="shared" si="14"/>
        <v>0</v>
      </c>
      <c r="F467" s="11">
        <f t="shared" si="15"/>
        <v>0</v>
      </c>
      <c r="G467">
        <v>1</v>
      </c>
      <c r="H467" s="9">
        <v>46123</v>
      </c>
    </row>
    <row r="468" spans="1:8">
      <c r="A468" s="9">
        <v>46124</v>
      </c>
      <c r="B468" t="s">
        <v>55</v>
      </c>
      <c r="C468">
        <v>7</v>
      </c>
      <c r="D468" s="10">
        <v>429000</v>
      </c>
      <c r="E468" s="10">
        <f t="shared" si="14"/>
        <v>0</v>
      </c>
      <c r="F468" s="11">
        <f t="shared" si="15"/>
        <v>0</v>
      </c>
      <c r="G468">
        <v>0</v>
      </c>
      <c r="H468" s="9">
        <v>46123</v>
      </c>
    </row>
    <row r="469" spans="1:8">
      <c r="A469" s="9">
        <v>46125</v>
      </c>
      <c r="B469" t="s">
        <v>53</v>
      </c>
      <c r="C469">
        <v>1</v>
      </c>
      <c r="D469" s="10">
        <v>429500</v>
      </c>
      <c r="E469" s="10">
        <f t="shared" si="14"/>
        <v>500</v>
      </c>
      <c r="F469" s="11">
        <f t="shared" si="15"/>
        <v>1.1655011655011655E-3</v>
      </c>
      <c r="G469">
        <v>1</v>
      </c>
      <c r="H469" s="9">
        <v>46125</v>
      </c>
    </row>
    <row r="470" spans="1:8">
      <c r="A470" s="9">
        <v>46126</v>
      </c>
      <c r="B470" t="s">
        <v>54</v>
      </c>
      <c r="C470">
        <v>2</v>
      </c>
      <c r="D470" s="10">
        <v>429500</v>
      </c>
      <c r="E470" s="10">
        <f t="shared" si="14"/>
        <v>0</v>
      </c>
      <c r="F470" s="11">
        <f t="shared" si="15"/>
        <v>0</v>
      </c>
      <c r="G470">
        <v>1</v>
      </c>
      <c r="H470" s="9">
        <v>46126</v>
      </c>
    </row>
    <row r="471" spans="1:8">
      <c r="A471" s="9">
        <v>46127</v>
      </c>
      <c r="B471" t="s">
        <v>49</v>
      </c>
      <c r="C471">
        <v>3</v>
      </c>
      <c r="D471" s="10">
        <v>429500</v>
      </c>
      <c r="E471" s="10">
        <f t="shared" si="14"/>
        <v>0</v>
      </c>
      <c r="F471" s="11">
        <f t="shared" si="15"/>
        <v>0</v>
      </c>
      <c r="G471">
        <v>1</v>
      </c>
      <c r="H471" s="9">
        <v>46127</v>
      </c>
    </row>
    <row r="472" spans="1:8">
      <c r="A472" s="9">
        <v>46128</v>
      </c>
      <c r="B472" t="s">
        <v>50</v>
      </c>
      <c r="C472">
        <v>4</v>
      </c>
      <c r="D472" s="10">
        <v>429500</v>
      </c>
      <c r="E472" s="10">
        <f t="shared" si="14"/>
        <v>0</v>
      </c>
      <c r="F472" s="11">
        <f t="shared" si="15"/>
        <v>0</v>
      </c>
      <c r="G472">
        <v>1</v>
      </c>
      <c r="H472" s="9">
        <v>46128</v>
      </c>
    </row>
    <row r="473" spans="1:8">
      <c r="A473" s="9">
        <v>46129</v>
      </c>
      <c r="B473" t="s">
        <v>51</v>
      </c>
      <c r="C473">
        <v>5</v>
      </c>
      <c r="D473" s="10">
        <v>429500</v>
      </c>
      <c r="E473" s="10">
        <f t="shared" si="14"/>
        <v>0</v>
      </c>
      <c r="F473" s="11">
        <f t="shared" si="15"/>
        <v>0</v>
      </c>
      <c r="G473">
        <v>1</v>
      </c>
      <c r="H473" s="9">
        <v>46129</v>
      </c>
    </row>
    <row r="474" spans="1:8">
      <c r="A474" s="9">
        <v>46130</v>
      </c>
      <c r="B474" t="s">
        <v>52</v>
      </c>
      <c r="C474">
        <v>6</v>
      </c>
      <c r="D474" s="10">
        <v>429000</v>
      </c>
      <c r="E474" s="10">
        <f t="shared" si="14"/>
        <v>-500</v>
      </c>
      <c r="F474" s="11">
        <f t="shared" si="15"/>
        <v>-1.1641443538998836E-3</v>
      </c>
      <c r="G474">
        <v>1</v>
      </c>
      <c r="H474" s="9">
        <v>46130</v>
      </c>
    </row>
    <row r="475" spans="1:8">
      <c r="A475" s="9">
        <v>46131</v>
      </c>
      <c r="B475" t="s">
        <v>55</v>
      </c>
      <c r="C475">
        <v>7</v>
      </c>
      <c r="D475" s="10">
        <v>429000</v>
      </c>
      <c r="E475" s="10">
        <f t="shared" si="14"/>
        <v>0</v>
      </c>
      <c r="F475" s="11">
        <f t="shared" si="15"/>
        <v>0</v>
      </c>
      <c r="G475">
        <v>0</v>
      </c>
      <c r="H475" s="9">
        <v>46130</v>
      </c>
    </row>
    <row r="476" spans="1:8">
      <c r="A476" s="9">
        <v>46132</v>
      </c>
      <c r="B476" t="s">
        <v>53</v>
      </c>
      <c r="C476">
        <v>1</v>
      </c>
      <c r="D476" s="10">
        <v>430000</v>
      </c>
      <c r="E476" s="10">
        <f t="shared" si="14"/>
        <v>1000</v>
      </c>
      <c r="F476" s="11">
        <f t="shared" si="15"/>
        <v>2.331002331002331E-3</v>
      </c>
      <c r="G476">
        <v>1</v>
      </c>
      <c r="H476" s="9">
        <v>46132</v>
      </c>
    </row>
    <row r="477" spans="1:8">
      <c r="A477" s="9">
        <v>46133</v>
      </c>
      <c r="B477" t="s">
        <v>54</v>
      </c>
      <c r="C477">
        <v>2</v>
      </c>
      <c r="D477" s="10">
        <v>430000</v>
      </c>
      <c r="E477" s="10">
        <f t="shared" si="14"/>
        <v>0</v>
      </c>
      <c r="F477" s="11">
        <f t="shared" si="15"/>
        <v>0</v>
      </c>
      <c r="G477">
        <v>1</v>
      </c>
      <c r="H477" s="9">
        <v>46133</v>
      </c>
    </row>
    <row r="478" spans="1:8">
      <c r="A478" s="9">
        <v>46134</v>
      </c>
      <c r="B478" t="s">
        <v>49</v>
      </c>
      <c r="C478">
        <v>3</v>
      </c>
      <c r="D478" s="10">
        <v>431000</v>
      </c>
      <c r="E478" s="10">
        <f t="shared" si="14"/>
        <v>1000</v>
      </c>
      <c r="F478" s="11">
        <f t="shared" si="15"/>
        <v>2.3255813953488372E-3</v>
      </c>
      <c r="G478">
        <v>1</v>
      </c>
      <c r="H478" s="9">
        <v>46134</v>
      </c>
    </row>
    <row r="479" spans="1:8">
      <c r="A479" s="9">
        <v>46135</v>
      </c>
      <c r="B479" t="s">
        <v>50</v>
      </c>
      <c r="C479">
        <v>4</v>
      </c>
      <c r="D479" s="10">
        <v>430500</v>
      </c>
      <c r="E479" s="10">
        <f t="shared" si="14"/>
        <v>-500</v>
      </c>
      <c r="F479" s="11">
        <f t="shared" si="15"/>
        <v>-1.1600928074245939E-3</v>
      </c>
      <c r="G479">
        <v>1</v>
      </c>
      <c r="H479" s="9">
        <v>46135</v>
      </c>
    </row>
    <row r="480" spans="1:8">
      <c r="A480" s="9">
        <v>46136</v>
      </c>
      <c r="B480" t="s">
        <v>51</v>
      </c>
      <c r="C480">
        <v>5</v>
      </c>
      <c r="D480" s="10">
        <v>430500</v>
      </c>
      <c r="E480" s="10">
        <f t="shared" si="14"/>
        <v>0</v>
      </c>
      <c r="F480" s="11">
        <f t="shared" si="15"/>
        <v>0</v>
      </c>
      <c r="G480">
        <v>1</v>
      </c>
      <c r="H480" s="9">
        <v>46136</v>
      </c>
    </row>
    <row r="481" spans="1:8">
      <c r="A481" s="9">
        <v>46137</v>
      </c>
      <c r="B481" t="s">
        <v>52</v>
      </c>
      <c r="C481">
        <v>6</v>
      </c>
      <c r="D481" s="10">
        <v>430000</v>
      </c>
      <c r="E481" s="10">
        <f t="shared" si="14"/>
        <v>-500</v>
      </c>
      <c r="F481" s="11">
        <f t="shared" si="15"/>
        <v>-1.1614401858304297E-3</v>
      </c>
      <c r="G481">
        <v>1</v>
      </c>
      <c r="H481" s="9">
        <v>46137</v>
      </c>
    </row>
    <row r="482" spans="1:8">
      <c r="A482" s="9">
        <v>46138</v>
      </c>
      <c r="B482" t="s">
        <v>55</v>
      </c>
      <c r="C482">
        <v>7</v>
      </c>
      <c r="D482" s="10">
        <v>430000</v>
      </c>
      <c r="E482" s="10">
        <f t="shared" si="14"/>
        <v>0</v>
      </c>
      <c r="F482" s="11">
        <f t="shared" si="15"/>
        <v>0</v>
      </c>
      <c r="G482">
        <v>0</v>
      </c>
      <c r="H482" s="9">
        <v>46137</v>
      </c>
    </row>
    <row r="483" spans="1:8">
      <c r="A483" s="9">
        <v>46139</v>
      </c>
      <c r="B483" t="s">
        <v>53</v>
      </c>
      <c r="C483">
        <v>1</v>
      </c>
      <c r="D483" s="10">
        <v>430000</v>
      </c>
      <c r="E483" s="10">
        <f t="shared" si="14"/>
        <v>0</v>
      </c>
      <c r="F483" s="11">
        <f t="shared" si="15"/>
        <v>0</v>
      </c>
      <c r="G483">
        <v>1</v>
      </c>
      <c r="H483" s="9">
        <v>46139</v>
      </c>
    </row>
    <row r="484" spans="1:8">
      <c r="A484" s="9">
        <v>46140</v>
      </c>
      <c r="B484" t="s">
        <v>54</v>
      </c>
      <c r="C484">
        <v>2</v>
      </c>
      <c r="D484" s="10">
        <v>431000</v>
      </c>
      <c r="E484" s="10">
        <f t="shared" si="14"/>
        <v>1000</v>
      </c>
      <c r="F484" s="11">
        <f t="shared" si="15"/>
        <v>2.3255813953488372E-3</v>
      </c>
      <c r="G484">
        <v>1</v>
      </c>
      <c r="H484" s="9">
        <v>46140</v>
      </c>
    </row>
    <row r="485" spans="1:8">
      <c r="A485" s="9">
        <v>46141</v>
      </c>
      <c r="B485" t="s">
        <v>49</v>
      </c>
      <c r="C485">
        <v>3</v>
      </c>
      <c r="D485" s="10">
        <v>431500</v>
      </c>
      <c r="E485" s="10">
        <f t="shared" si="14"/>
        <v>500</v>
      </c>
      <c r="F485" s="11">
        <f t="shared" si="15"/>
        <v>1.1600928074245939E-3</v>
      </c>
      <c r="G485">
        <v>1</v>
      </c>
      <c r="H485" s="9">
        <v>46141</v>
      </c>
    </row>
    <row r="486" spans="1:8">
      <c r="A486" s="9">
        <v>46142</v>
      </c>
      <c r="B486" t="s">
        <v>50</v>
      </c>
      <c r="C486">
        <v>4</v>
      </c>
      <c r="D486" s="10">
        <v>431500</v>
      </c>
      <c r="E486" s="10">
        <f t="shared" si="14"/>
        <v>0</v>
      </c>
      <c r="F486" s="11">
        <f t="shared" si="15"/>
        <v>0</v>
      </c>
      <c r="G486">
        <v>1</v>
      </c>
      <c r="H486" s="9">
        <v>46142</v>
      </c>
    </row>
    <row r="487" spans="1:8">
      <c r="A487" s="9">
        <v>46143</v>
      </c>
      <c r="B487" t="s">
        <v>51</v>
      </c>
      <c r="C487">
        <v>5</v>
      </c>
      <c r="D487" s="10">
        <v>431500</v>
      </c>
      <c r="E487" s="10">
        <f t="shared" si="14"/>
        <v>0</v>
      </c>
      <c r="F487" s="11">
        <f t="shared" si="15"/>
        <v>0</v>
      </c>
      <c r="G487">
        <v>1</v>
      </c>
      <c r="H487" s="9">
        <v>46143</v>
      </c>
    </row>
    <row r="488" spans="1:8">
      <c r="A488" s="9">
        <v>46144</v>
      </c>
      <c r="B488" t="s">
        <v>52</v>
      </c>
      <c r="C488">
        <v>6</v>
      </c>
      <c r="D488" s="10">
        <v>432000</v>
      </c>
      <c r="E488" s="10">
        <f t="shared" si="14"/>
        <v>500</v>
      </c>
      <c r="F488" s="11">
        <f t="shared" si="15"/>
        <v>1.1587485515643105E-3</v>
      </c>
      <c r="G488">
        <v>1</v>
      </c>
      <c r="H488" s="9">
        <v>46144</v>
      </c>
    </row>
    <row r="489" spans="1:8">
      <c r="A489" s="9">
        <v>46145</v>
      </c>
      <c r="B489" t="s">
        <v>55</v>
      </c>
      <c r="C489">
        <v>7</v>
      </c>
      <c r="D489" s="10">
        <v>432000</v>
      </c>
      <c r="E489" s="10">
        <f t="shared" si="14"/>
        <v>0</v>
      </c>
      <c r="F489" s="11">
        <f t="shared" si="15"/>
        <v>0</v>
      </c>
      <c r="G489">
        <v>0</v>
      </c>
      <c r="H489" s="9">
        <v>46144</v>
      </c>
    </row>
    <row r="490" spans="1:8">
      <c r="A490" s="9">
        <v>46146</v>
      </c>
      <c r="B490" t="s">
        <v>53</v>
      </c>
      <c r="C490">
        <v>1</v>
      </c>
      <c r="D490" s="10">
        <v>431500</v>
      </c>
      <c r="E490" s="10">
        <f t="shared" si="14"/>
        <v>-500</v>
      </c>
      <c r="F490" s="11">
        <f t="shared" si="15"/>
        <v>-1.1574074074074073E-3</v>
      </c>
      <c r="G490">
        <v>1</v>
      </c>
      <c r="H490" s="9">
        <v>46146</v>
      </c>
    </row>
    <row r="491" spans="1:8">
      <c r="A491" s="9">
        <v>46147</v>
      </c>
      <c r="B491" t="s">
        <v>54</v>
      </c>
      <c r="C491">
        <v>2</v>
      </c>
      <c r="D491" s="10">
        <v>432000</v>
      </c>
      <c r="E491" s="10">
        <f t="shared" si="14"/>
        <v>500</v>
      </c>
      <c r="F491" s="11">
        <f t="shared" si="15"/>
        <v>1.1587485515643105E-3</v>
      </c>
      <c r="G491">
        <v>1</v>
      </c>
      <c r="H491" s="9">
        <v>46147</v>
      </c>
    </row>
    <row r="492" spans="1:8">
      <c r="A492" s="9">
        <v>46148</v>
      </c>
      <c r="B492" t="s">
        <v>49</v>
      </c>
      <c r="C492">
        <v>3</v>
      </c>
      <c r="D492" s="10">
        <v>432000</v>
      </c>
      <c r="E492" s="10">
        <f t="shared" si="14"/>
        <v>0</v>
      </c>
      <c r="F492" s="11">
        <f t="shared" si="15"/>
        <v>0</v>
      </c>
      <c r="G492">
        <v>1</v>
      </c>
      <c r="H492" s="9">
        <v>46148</v>
      </c>
    </row>
    <row r="493" spans="1:8">
      <c r="A493" s="9">
        <v>46149</v>
      </c>
      <c r="B493" t="s">
        <v>50</v>
      </c>
      <c r="C493">
        <v>4</v>
      </c>
      <c r="D493" s="10">
        <v>432000</v>
      </c>
      <c r="E493" s="10">
        <f t="shared" si="14"/>
        <v>0</v>
      </c>
      <c r="F493" s="11">
        <f t="shared" si="15"/>
        <v>0</v>
      </c>
      <c r="G493">
        <v>1</v>
      </c>
      <c r="H493" s="9">
        <v>46149</v>
      </c>
    </row>
    <row r="494" spans="1:8">
      <c r="A494" s="9">
        <v>46150</v>
      </c>
      <c r="B494" t="s">
        <v>51</v>
      </c>
      <c r="C494">
        <v>5</v>
      </c>
      <c r="D494" s="10">
        <v>431500</v>
      </c>
      <c r="E494" s="10">
        <f t="shared" si="14"/>
        <v>-500</v>
      </c>
      <c r="F494" s="11">
        <f t="shared" si="15"/>
        <v>-1.1574074074074073E-3</v>
      </c>
      <c r="G494">
        <v>1</v>
      </c>
      <c r="H494" s="9">
        <v>46150</v>
      </c>
    </row>
    <row r="495" spans="1:8">
      <c r="A495" s="9">
        <v>46151</v>
      </c>
      <c r="B495" t="s">
        <v>52</v>
      </c>
      <c r="C495">
        <v>6</v>
      </c>
      <c r="D495" s="10">
        <v>431000</v>
      </c>
      <c r="E495" s="10">
        <f t="shared" si="14"/>
        <v>-500</v>
      </c>
      <c r="F495" s="11">
        <f t="shared" si="15"/>
        <v>-1.1587485515643105E-3</v>
      </c>
      <c r="G495">
        <v>1</v>
      </c>
      <c r="H495" s="9">
        <v>46151</v>
      </c>
    </row>
    <row r="496" spans="1:8">
      <c r="A496" s="9">
        <v>46152</v>
      </c>
      <c r="B496" t="s">
        <v>55</v>
      </c>
      <c r="C496">
        <v>7</v>
      </c>
      <c r="D496" s="10">
        <v>431000</v>
      </c>
      <c r="E496" s="10">
        <f t="shared" si="14"/>
        <v>0</v>
      </c>
      <c r="F496" s="11">
        <f t="shared" si="15"/>
        <v>0</v>
      </c>
      <c r="G496">
        <v>0</v>
      </c>
      <c r="H496" s="9">
        <v>46151</v>
      </c>
    </row>
    <row r="497" spans="1:8">
      <c r="A497" s="9">
        <v>46153</v>
      </c>
      <c r="B497" t="s">
        <v>53</v>
      </c>
      <c r="C497">
        <v>1</v>
      </c>
      <c r="D497" s="10">
        <v>431000</v>
      </c>
      <c r="E497" s="10">
        <f t="shared" si="14"/>
        <v>0</v>
      </c>
      <c r="F497" s="11">
        <f t="shared" si="15"/>
        <v>0</v>
      </c>
      <c r="G497">
        <v>1</v>
      </c>
      <c r="H497" s="9">
        <v>46153</v>
      </c>
    </row>
    <row r="498" spans="1:8">
      <c r="A498" s="9">
        <v>46154</v>
      </c>
      <c r="B498" t="s">
        <v>54</v>
      </c>
      <c r="C498">
        <v>2</v>
      </c>
      <c r="D498" s="10">
        <v>430000</v>
      </c>
      <c r="E498" s="10">
        <f t="shared" si="14"/>
        <v>-1000</v>
      </c>
      <c r="F498" s="11">
        <f t="shared" si="15"/>
        <v>-2.3201856148491878E-3</v>
      </c>
      <c r="G498">
        <v>1</v>
      </c>
      <c r="H498" s="9">
        <v>46154</v>
      </c>
    </row>
    <row r="499" spans="1:8">
      <c r="A499" s="9">
        <v>46155</v>
      </c>
      <c r="B499" t="s">
        <v>49</v>
      </c>
      <c r="C499">
        <v>3</v>
      </c>
      <c r="D499" s="10">
        <v>430000</v>
      </c>
      <c r="E499" s="10">
        <f t="shared" si="14"/>
        <v>0</v>
      </c>
      <c r="F499" s="11">
        <f t="shared" si="15"/>
        <v>0</v>
      </c>
      <c r="G499">
        <v>1</v>
      </c>
      <c r="H499" s="9">
        <v>46155</v>
      </c>
    </row>
    <row r="500" spans="1:8">
      <c r="A500" s="9">
        <v>46156</v>
      </c>
      <c r="B500" t="s">
        <v>50</v>
      </c>
      <c r="C500">
        <v>4</v>
      </c>
      <c r="D500" s="10">
        <v>429000</v>
      </c>
      <c r="E500" s="10">
        <f t="shared" si="14"/>
        <v>-1000</v>
      </c>
      <c r="F500" s="11">
        <f t="shared" si="15"/>
        <v>-2.3255813953488372E-3</v>
      </c>
      <c r="G500">
        <v>1</v>
      </c>
      <c r="H500" s="9">
        <v>46156</v>
      </c>
    </row>
    <row r="501" spans="1:8">
      <c r="A501" s="9">
        <v>46157</v>
      </c>
      <c r="B501" t="s">
        <v>51</v>
      </c>
      <c r="C501">
        <v>5</v>
      </c>
      <c r="D501" s="10">
        <v>429000</v>
      </c>
      <c r="E501" s="10">
        <f t="shared" si="14"/>
        <v>0</v>
      </c>
      <c r="F501" s="11">
        <f t="shared" si="15"/>
        <v>0</v>
      </c>
      <c r="G501">
        <v>1</v>
      </c>
      <c r="H501" s="9">
        <v>46157</v>
      </c>
    </row>
    <row r="502" spans="1:8">
      <c r="A502" s="9">
        <v>46158</v>
      </c>
      <c r="B502" t="s">
        <v>52</v>
      </c>
      <c r="C502">
        <v>6</v>
      </c>
      <c r="D502" s="10">
        <v>429500</v>
      </c>
      <c r="E502" s="10">
        <f t="shared" si="14"/>
        <v>500</v>
      </c>
      <c r="F502" s="11">
        <f t="shared" si="15"/>
        <v>1.1655011655011655E-3</v>
      </c>
      <c r="G502">
        <v>1</v>
      </c>
      <c r="H502" s="9">
        <v>46158</v>
      </c>
    </row>
    <row r="503" spans="1:8">
      <c r="A503" s="9">
        <v>46159</v>
      </c>
      <c r="B503" t="s">
        <v>55</v>
      </c>
      <c r="C503">
        <v>7</v>
      </c>
      <c r="D503" s="10">
        <v>429500</v>
      </c>
      <c r="E503" s="10">
        <f t="shared" si="14"/>
        <v>0</v>
      </c>
      <c r="F503" s="11">
        <f t="shared" si="15"/>
        <v>0</v>
      </c>
      <c r="G503">
        <v>0</v>
      </c>
      <c r="H503" s="9">
        <v>46158</v>
      </c>
    </row>
    <row r="504" spans="1:8">
      <c r="A504" s="9">
        <v>46160</v>
      </c>
      <c r="B504" t="s">
        <v>53</v>
      </c>
      <c r="C504">
        <v>1</v>
      </c>
      <c r="D504" s="10">
        <v>429000</v>
      </c>
      <c r="E504" s="10">
        <f t="shared" si="14"/>
        <v>-500</v>
      </c>
      <c r="F504" s="11">
        <f t="shared" si="15"/>
        <v>-1.1641443538998836E-3</v>
      </c>
      <c r="G504">
        <v>1</v>
      </c>
      <c r="H504" s="9">
        <v>46160</v>
      </c>
    </row>
    <row r="505" spans="1:8">
      <c r="A505" s="9">
        <v>46161</v>
      </c>
      <c r="B505" t="s">
        <v>54</v>
      </c>
      <c r="C505">
        <v>2</v>
      </c>
      <c r="D505" s="10">
        <v>430000</v>
      </c>
      <c r="E505" s="10">
        <f t="shared" si="14"/>
        <v>1000</v>
      </c>
      <c r="F505" s="11">
        <f t="shared" si="15"/>
        <v>2.331002331002331E-3</v>
      </c>
      <c r="G505">
        <v>1</v>
      </c>
      <c r="H505" s="9">
        <v>46161</v>
      </c>
    </row>
    <row r="506" spans="1:8">
      <c r="A506" s="9">
        <v>46162</v>
      </c>
      <c r="B506" t="s">
        <v>49</v>
      </c>
      <c r="C506">
        <v>3</v>
      </c>
      <c r="D506" s="10">
        <v>430000</v>
      </c>
      <c r="E506" s="10">
        <f t="shared" si="14"/>
        <v>0</v>
      </c>
      <c r="F506" s="11">
        <f t="shared" si="15"/>
        <v>0</v>
      </c>
      <c r="G506">
        <v>1</v>
      </c>
      <c r="H506" s="9">
        <v>46162</v>
      </c>
    </row>
    <row r="507" spans="1:8">
      <c r="A507" s="9">
        <v>46163</v>
      </c>
      <c r="B507" t="s">
        <v>50</v>
      </c>
      <c r="C507">
        <v>4</v>
      </c>
      <c r="D507" s="10">
        <v>429000</v>
      </c>
      <c r="E507" s="10">
        <f t="shared" si="14"/>
        <v>-1000</v>
      </c>
      <c r="F507" s="11">
        <f t="shared" si="15"/>
        <v>-2.3255813953488372E-3</v>
      </c>
      <c r="G507">
        <v>1</v>
      </c>
      <c r="H507" s="9">
        <v>46163</v>
      </c>
    </row>
    <row r="508" spans="1:8">
      <c r="A508" s="9">
        <v>46164</v>
      </c>
      <c r="B508" t="s">
        <v>51</v>
      </c>
      <c r="C508">
        <v>5</v>
      </c>
      <c r="D508" s="10">
        <v>429500</v>
      </c>
      <c r="E508" s="10">
        <f t="shared" si="14"/>
        <v>500</v>
      </c>
      <c r="F508" s="11">
        <f t="shared" si="15"/>
        <v>1.1655011655011655E-3</v>
      </c>
      <c r="G508">
        <v>1</v>
      </c>
      <c r="H508" s="9">
        <v>46164</v>
      </c>
    </row>
    <row r="509" spans="1:8">
      <c r="A509" s="9">
        <v>46165</v>
      </c>
      <c r="B509" t="s">
        <v>52</v>
      </c>
      <c r="C509">
        <v>6</v>
      </c>
      <c r="D509" s="10">
        <v>429000</v>
      </c>
      <c r="E509" s="10">
        <f t="shared" si="14"/>
        <v>-500</v>
      </c>
      <c r="F509" s="11">
        <f t="shared" si="15"/>
        <v>-1.1641443538998836E-3</v>
      </c>
      <c r="G509">
        <v>1</v>
      </c>
      <c r="H509" s="9">
        <v>46165</v>
      </c>
    </row>
    <row r="510" spans="1:8">
      <c r="A510" s="9">
        <v>46166</v>
      </c>
      <c r="B510" t="s">
        <v>55</v>
      </c>
      <c r="C510">
        <v>7</v>
      </c>
      <c r="D510" s="10">
        <v>429000</v>
      </c>
      <c r="E510" s="10">
        <f t="shared" si="14"/>
        <v>0</v>
      </c>
      <c r="F510" s="11">
        <f t="shared" si="15"/>
        <v>0</v>
      </c>
      <c r="G510">
        <v>0</v>
      </c>
      <c r="H510" s="9">
        <v>46165</v>
      </c>
    </row>
    <row r="511" spans="1:8">
      <c r="A511" s="9">
        <v>46167</v>
      </c>
      <c r="B511" t="s">
        <v>53</v>
      </c>
      <c r="C511">
        <v>1</v>
      </c>
      <c r="D511" s="10">
        <v>429500</v>
      </c>
      <c r="E511" s="10">
        <f t="shared" si="14"/>
        <v>500</v>
      </c>
      <c r="F511" s="11">
        <f t="shared" si="15"/>
        <v>1.1655011655011655E-3</v>
      </c>
      <c r="G511">
        <v>1</v>
      </c>
      <c r="H511" s="9">
        <v>46167</v>
      </c>
    </row>
    <row r="512" spans="1:8">
      <c r="A512" s="9">
        <v>46168</v>
      </c>
      <c r="B512" t="s">
        <v>54</v>
      </c>
      <c r="C512">
        <v>2</v>
      </c>
      <c r="D512" s="10">
        <v>429000</v>
      </c>
      <c r="E512" s="10">
        <f t="shared" si="14"/>
        <v>-500</v>
      </c>
      <c r="F512" s="11">
        <f t="shared" si="15"/>
        <v>-1.1641443538998836E-3</v>
      </c>
      <c r="G512">
        <v>1</v>
      </c>
      <c r="H512" s="9">
        <v>46168</v>
      </c>
    </row>
    <row r="513" spans="1:8">
      <c r="A513" s="9">
        <v>46169</v>
      </c>
      <c r="B513" t="s">
        <v>49</v>
      </c>
      <c r="C513">
        <v>3</v>
      </c>
      <c r="D513" s="10">
        <v>429500</v>
      </c>
      <c r="E513" s="10">
        <f t="shared" si="14"/>
        <v>500</v>
      </c>
      <c r="F513" s="11">
        <f t="shared" si="15"/>
        <v>1.1655011655011655E-3</v>
      </c>
      <c r="G513">
        <v>1</v>
      </c>
      <c r="H513" s="9">
        <v>46169</v>
      </c>
    </row>
    <row r="514" spans="1:8">
      <c r="A514" s="9">
        <v>46170</v>
      </c>
      <c r="B514" t="s">
        <v>50</v>
      </c>
      <c r="C514">
        <v>4</v>
      </c>
      <c r="D514" s="10">
        <v>430000</v>
      </c>
      <c r="E514" s="10">
        <f t="shared" si="14"/>
        <v>500</v>
      </c>
      <c r="F514" s="11">
        <f t="shared" si="15"/>
        <v>1.1641443538998836E-3</v>
      </c>
      <c r="G514">
        <v>1</v>
      </c>
      <c r="H514" s="9">
        <v>46170</v>
      </c>
    </row>
    <row r="515" spans="1:8">
      <c r="A515" s="9">
        <v>46171</v>
      </c>
      <c r="B515" t="s">
        <v>51</v>
      </c>
      <c r="C515">
        <v>5</v>
      </c>
      <c r="D515" s="10">
        <v>429500</v>
      </c>
      <c r="E515" s="10">
        <f t="shared" ref="E515:E578" si="16">D515-D514</f>
        <v>-500</v>
      </c>
      <c r="F515" s="11">
        <f t="shared" ref="F515:F578" si="17">IFERROR(E515/D514,0)</f>
        <v>-1.1627906976744186E-3</v>
      </c>
      <c r="G515">
        <v>1</v>
      </c>
      <c r="H515" s="9">
        <v>46171</v>
      </c>
    </row>
    <row r="516" spans="1:8">
      <c r="A516" s="9">
        <v>46172</v>
      </c>
      <c r="B516" t="s">
        <v>52</v>
      </c>
      <c r="C516">
        <v>6</v>
      </c>
      <c r="D516" s="10">
        <v>429500</v>
      </c>
      <c r="E516" s="10">
        <f t="shared" si="16"/>
        <v>0</v>
      </c>
      <c r="F516" s="11">
        <f t="shared" si="17"/>
        <v>0</v>
      </c>
      <c r="G516">
        <v>1</v>
      </c>
      <c r="H516" s="9">
        <v>46172</v>
      </c>
    </row>
    <row r="517" spans="1:8">
      <c r="A517" s="9">
        <v>46173</v>
      </c>
      <c r="B517" t="s">
        <v>55</v>
      </c>
      <c r="C517">
        <v>7</v>
      </c>
      <c r="D517" s="10">
        <v>429500</v>
      </c>
      <c r="E517" s="10">
        <f t="shared" si="16"/>
        <v>0</v>
      </c>
      <c r="F517" s="11">
        <f t="shared" si="17"/>
        <v>0</v>
      </c>
      <c r="G517">
        <v>0</v>
      </c>
      <c r="H517" s="9">
        <v>46172</v>
      </c>
    </row>
    <row r="518" spans="1:8">
      <c r="A518" s="9">
        <v>46174</v>
      </c>
      <c r="B518" t="s">
        <v>53</v>
      </c>
      <c r="C518">
        <v>1</v>
      </c>
      <c r="D518" s="10">
        <v>430000</v>
      </c>
      <c r="E518" s="10">
        <f t="shared" si="16"/>
        <v>500</v>
      </c>
      <c r="F518" s="11">
        <f t="shared" si="17"/>
        <v>1.1641443538998836E-3</v>
      </c>
      <c r="G518">
        <v>1</v>
      </c>
      <c r="H518" s="9">
        <v>46174</v>
      </c>
    </row>
    <row r="519" spans="1:8">
      <c r="A519" s="9">
        <v>46175</v>
      </c>
      <c r="B519" t="s">
        <v>54</v>
      </c>
      <c r="C519">
        <v>2</v>
      </c>
      <c r="D519" s="10">
        <v>465000</v>
      </c>
      <c r="E519" s="10">
        <f t="shared" si="16"/>
        <v>35000</v>
      </c>
      <c r="F519" s="11">
        <f t="shared" si="17"/>
        <v>8.1395348837209308E-2</v>
      </c>
      <c r="G519">
        <v>1</v>
      </c>
      <c r="H519" s="9">
        <v>46175</v>
      </c>
    </row>
    <row r="520" spans="1:8">
      <c r="A520" s="9">
        <v>46176</v>
      </c>
      <c r="B520" t="s">
        <v>49</v>
      </c>
      <c r="C520">
        <v>3</v>
      </c>
      <c r="D520" s="10">
        <v>461500</v>
      </c>
      <c r="E520" s="10">
        <f t="shared" si="16"/>
        <v>-3500</v>
      </c>
      <c r="F520" s="11">
        <f t="shared" si="17"/>
        <v>-7.526881720430108E-3</v>
      </c>
      <c r="G520">
        <v>1</v>
      </c>
      <c r="H520" s="9">
        <v>46176</v>
      </c>
    </row>
    <row r="521" spans="1:8">
      <c r="A521" s="9">
        <v>46177</v>
      </c>
      <c r="B521" t="s">
        <v>50</v>
      </c>
      <c r="C521">
        <v>4</v>
      </c>
      <c r="D521" s="10">
        <v>461500</v>
      </c>
      <c r="E521" s="10">
        <f t="shared" si="16"/>
        <v>0</v>
      </c>
      <c r="F521" s="11">
        <f t="shared" si="17"/>
        <v>0</v>
      </c>
      <c r="G521">
        <v>1</v>
      </c>
      <c r="H521" s="9">
        <v>46177</v>
      </c>
    </row>
    <row r="522" spans="1:8">
      <c r="A522" s="9">
        <v>46178</v>
      </c>
      <c r="B522" t="s">
        <v>51</v>
      </c>
      <c r="C522">
        <v>5</v>
      </c>
      <c r="D522" s="10">
        <v>461500</v>
      </c>
      <c r="E522" s="10">
        <f t="shared" si="16"/>
        <v>0</v>
      </c>
      <c r="F522" s="11">
        <f t="shared" si="17"/>
        <v>0</v>
      </c>
      <c r="G522">
        <v>1</v>
      </c>
      <c r="H522" s="9">
        <v>46178</v>
      </c>
    </row>
    <row r="523" spans="1:8">
      <c r="A523" s="9">
        <v>46179</v>
      </c>
      <c r="B523" t="s">
        <v>52</v>
      </c>
      <c r="C523">
        <v>6</v>
      </c>
      <c r="D523" s="10">
        <v>461500</v>
      </c>
      <c r="E523" s="10">
        <f t="shared" si="16"/>
        <v>0</v>
      </c>
      <c r="F523" s="11">
        <f t="shared" si="17"/>
        <v>0</v>
      </c>
      <c r="G523">
        <v>1</v>
      </c>
      <c r="H523" s="9">
        <v>46179</v>
      </c>
    </row>
    <row r="524" spans="1:8">
      <c r="A524" s="9">
        <v>46180</v>
      </c>
      <c r="B524" t="s">
        <v>55</v>
      </c>
      <c r="C524">
        <v>7</v>
      </c>
      <c r="D524" s="10">
        <v>461500</v>
      </c>
      <c r="E524" s="10">
        <f t="shared" si="16"/>
        <v>0</v>
      </c>
      <c r="F524" s="11">
        <f t="shared" si="17"/>
        <v>0</v>
      </c>
      <c r="G524">
        <v>0</v>
      </c>
      <c r="H524" s="9">
        <v>46179</v>
      </c>
    </row>
    <row r="525" spans="1:8">
      <c r="A525" s="9">
        <v>46181</v>
      </c>
      <c r="B525" t="s">
        <v>53</v>
      </c>
      <c r="C525">
        <v>1</v>
      </c>
      <c r="D525" s="10">
        <v>452000</v>
      </c>
      <c r="E525" s="10">
        <f t="shared" si="16"/>
        <v>-9500</v>
      </c>
      <c r="F525" s="11">
        <f t="shared" si="17"/>
        <v>-2.0585048754062838E-2</v>
      </c>
      <c r="G525">
        <v>1</v>
      </c>
      <c r="H525" s="9">
        <v>46181</v>
      </c>
    </row>
    <row r="526" spans="1:8">
      <c r="A526" s="9">
        <v>46182</v>
      </c>
      <c r="B526" t="s">
        <v>54</v>
      </c>
      <c r="C526">
        <v>2</v>
      </c>
      <c r="D526" s="10">
        <v>449484</v>
      </c>
      <c r="E526" s="10">
        <f t="shared" si="16"/>
        <v>-2516</v>
      </c>
      <c r="F526" s="11">
        <f t="shared" si="17"/>
        <v>-5.5663716814159294E-3</v>
      </c>
      <c r="G526">
        <v>1</v>
      </c>
      <c r="H526" s="9">
        <v>46182</v>
      </c>
    </row>
    <row r="527" spans="1:8">
      <c r="A527" s="9">
        <v>46183</v>
      </c>
      <c r="B527" t="s">
        <v>49</v>
      </c>
      <c r="C527">
        <v>3</v>
      </c>
      <c r="D527" s="10">
        <v>444042</v>
      </c>
      <c r="E527" s="10">
        <f t="shared" si="16"/>
        <v>-5442</v>
      </c>
      <c r="F527" s="11">
        <f t="shared" si="17"/>
        <v>-1.2107216274661612E-2</v>
      </c>
      <c r="G527">
        <v>1</v>
      </c>
      <c r="H527" s="9">
        <v>46183</v>
      </c>
    </row>
    <row r="528" spans="1:8">
      <c r="A528" s="9">
        <v>46184</v>
      </c>
      <c r="B528" t="s">
        <v>50</v>
      </c>
      <c r="C528">
        <v>4</v>
      </c>
      <c r="D528" s="10">
        <v>432000</v>
      </c>
      <c r="E528" s="10">
        <f t="shared" si="16"/>
        <v>-12042</v>
      </c>
      <c r="F528" s="11">
        <f t="shared" si="17"/>
        <v>-2.7119056305484616E-2</v>
      </c>
      <c r="G528">
        <v>1</v>
      </c>
      <c r="H528" s="9">
        <v>46184</v>
      </c>
    </row>
    <row r="529" spans="1:8">
      <c r="A529" s="9">
        <v>46185</v>
      </c>
      <c r="B529" t="s">
        <v>51</v>
      </c>
      <c r="C529">
        <v>5</v>
      </c>
      <c r="D529" s="10">
        <v>425800</v>
      </c>
      <c r="E529" s="10">
        <f t="shared" si="16"/>
        <v>-6200</v>
      </c>
      <c r="F529" s="11">
        <f t="shared" si="17"/>
        <v>-1.4351851851851852E-2</v>
      </c>
      <c r="G529">
        <v>1</v>
      </c>
      <c r="H529" s="9">
        <v>46185</v>
      </c>
    </row>
    <row r="530" spans="1:8">
      <c r="A530" s="9">
        <v>46186</v>
      </c>
      <c r="B530" t="s">
        <v>52</v>
      </c>
      <c r="C530">
        <v>6</v>
      </c>
      <c r="D530" s="10">
        <v>432500</v>
      </c>
      <c r="E530" s="10">
        <f t="shared" si="16"/>
        <v>6700</v>
      </c>
      <c r="F530" s="11">
        <f t="shared" si="17"/>
        <v>1.573508689525599E-2</v>
      </c>
      <c r="G530">
        <v>1</v>
      </c>
      <c r="H530" s="9">
        <v>46186</v>
      </c>
    </row>
    <row r="531" spans="1:8">
      <c r="A531" s="9">
        <v>46187</v>
      </c>
      <c r="B531" t="s">
        <v>55</v>
      </c>
      <c r="C531">
        <v>7</v>
      </c>
      <c r="D531" s="10">
        <v>440000</v>
      </c>
      <c r="E531" s="10">
        <f t="shared" si="16"/>
        <v>7500</v>
      </c>
      <c r="F531" s="11">
        <f t="shared" si="17"/>
        <v>1.7341040462427744E-2</v>
      </c>
      <c r="G531">
        <v>1</v>
      </c>
      <c r="H531" s="9">
        <v>46187</v>
      </c>
    </row>
    <row r="532" spans="1:8">
      <c r="A532" s="9">
        <v>46188</v>
      </c>
      <c r="B532" t="s">
        <v>53</v>
      </c>
      <c r="C532">
        <v>1</v>
      </c>
      <c r="D532" s="10">
        <v>433000</v>
      </c>
      <c r="E532" s="10">
        <f t="shared" si="16"/>
        <v>-7000</v>
      </c>
      <c r="F532" s="11">
        <f t="shared" si="17"/>
        <v>-1.5909090909090907E-2</v>
      </c>
      <c r="G532">
        <v>1</v>
      </c>
      <c r="H532" s="9">
        <v>46188</v>
      </c>
    </row>
    <row r="533" spans="1:8">
      <c r="A533" s="9">
        <v>46189</v>
      </c>
      <c r="B533" t="s">
        <v>54</v>
      </c>
      <c r="C533">
        <v>2</v>
      </c>
      <c r="D533" s="10">
        <v>433000</v>
      </c>
      <c r="E533" s="10">
        <f t="shared" si="16"/>
        <v>0</v>
      </c>
      <c r="F533" s="11">
        <f t="shared" si="17"/>
        <v>0</v>
      </c>
      <c r="G533">
        <v>1</v>
      </c>
      <c r="H533" s="9">
        <v>46189</v>
      </c>
    </row>
    <row r="534" spans="1:8">
      <c r="A534" s="9">
        <v>46190</v>
      </c>
      <c r="B534" t="s">
        <v>49</v>
      </c>
      <c r="C534">
        <v>3</v>
      </c>
      <c r="D534" s="10">
        <v>433000</v>
      </c>
      <c r="E534" s="10">
        <f t="shared" si="16"/>
        <v>0</v>
      </c>
      <c r="F534" s="11">
        <f t="shared" si="17"/>
        <v>0</v>
      </c>
      <c r="G534">
        <v>1</v>
      </c>
      <c r="H534" s="9">
        <v>46190</v>
      </c>
    </row>
    <row r="535" spans="1:8">
      <c r="A535" s="9">
        <v>46191</v>
      </c>
      <c r="B535" t="s">
        <v>50</v>
      </c>
      <c r="C535">
        <v>4</v>
      </c>
      <c r="D535" s="10">
        <v>433500</v>
      </c>
      <c r="E535" s="10">
        <f t="shared" si="16"/>
        <v>500</v>
      </c>
      <c r="F535" s="11">
        <f t="shared" si="17"/>
        <v>1.1547344110854503E-3</v>
      </c>
      <c r="G535">
        <v>1</v>
      </c>
      <c r="H535" s="9">
        <v>46191</v>
      </c>
    </row>
    <row r="536" spans="1:8">
      <c r="A536" s="9">
        <v>46192</v>
      </c>
      <c r="B536" t="s">
        <v>51</v>
      </c>
      <c r="C536">
        <v>5</v>
      </c>
      <c r="D536" s="10">
        <v>452000</v>
      </c>
      <c r="E536" s="10">
        <f t="shared" si="16"/>
        <v>18500</v>
      </c>
      <c r="F536" s="11">
        <f t="shared" si="17"/>
        <v>4.2675893886966548E-2</v>
      </c>
      <c r="G536">
        <v>1</v>
      </c>
      <c r="H536" s="9">
        <v>46192</v>
      </c>
    </row>
    <row r="537" spans="1:8">
      <c r="A537" s="9">
        <v>46193</v>
      </c>
      <c r="B537" t="s">
        <v>52</v>
      </c>
      <c r="C537">
        <v>6</v>
      </c>
      <c r="D537" s="10">
        <v>434000</v>
      </c>
      <c r="E537" s="10">
        <f t="shared" si="16"/>
        <v>-18000</v>
      </c>
      <c r="F537" s="11">
        <f t="shared" si="17"/>
        <v>-3.9823008849557522E-2</v>
      </c>
      <c r="G537">
        <v>1</v>
      </c>
      <c r="H537" s="9">
        <v>46193</v>
      </c>
    </row>
    <row r="538" spans="1:8">
      <c r="A538" s="9">
        <v>46194</v>
      </c>
      <c r="B538" t="s">
        <v>55</v>
      </c>
      <c r="C538">
        <v>7</v>
      </c>
      <c r="D538" s="10">
        <v>434000</v>
      </c>
      <c r="E538" s="10">
        <f t="shared" si="16"/>
        <v>0</v>
      </c>
      <c r="F538" s="11">
        <f t="shared" si="17"/>
        <v>0</v>
      </c>
      <c r="G538">
        <v>0</v>
      </c>
      <c r="H538" s="9">
        <v>46193</v>
      </c>
    </row>
    <row r="539" spans="1:8">
      <c r="A539" s="9">
        <v>46195</v>
      </c>
      <c r="B539" t="s">
        <v>53</v>
      </c>
      <c r="C539">
        <v>1</v>
      </c>
      <c r="D539" s="10">
        <v>433500</v>
      </c>
      <c r="E539" s="10">
        <f t="shared" si="16"/>
        <v>-500</v>
      </c>
      <c r="F539" s="11">
        <f t="shared" si="17"/>
        <v>-1.152073732718894E-3</v>
      </c>
      <c r="G539">
        <v>1</v>
      </c>
      <c r="H539" s="9">
        <v>46195</v>
      </c>
    </row>
    <row r="540" spans="1:8">
      <c r="A540" s="9">
        <v>46196</v>
      </c>
      <c r="B540" t="s">
        <v>54</v>
      </c>
      <c r="C540">
        <v>2</v>
      </c>
      <c r="D540" s="10">
        <v>434000</v>
      </c>
      <c r="E540" s="10">
        <f t="shared" si="16"/>
        <v>500</v>
      </c>
      <c r="F540" s="11">
        <f t="shared" si="17"/>
        <v>1.1534025374855825E-3</v>
      </c>
      <c r="G540">
        <v>1</v>
      </c>
      <c r="H540" s="9">
        <v>46196</v>
      </c>
    </row>
    <row r="541" spans="1:8">
      <c r="A541" s="9">
        <v>46197</v>
      </c>
      <c r="B541" t="s">
        <v>49</v>
      </c>
      <c r="C541">
        <v>3</v>
      </c>
      <c r="D541" s="10">
        <v>434000</v>
      </c>
      <c r="E541" s="10">
        <f t="shared" si="16"/>
        <v>0</v>
      </c>
      <c r="F541" s="11">
        <f t="shared" si="17"/>
        <v>0</v>
      </c>
      <c r="G541">
        <v>1</v>
      </c>
      <c r="H541" s="9">
        <v>46197</v>
      </c>
    </row>
    <row r="542" spans="1:8">
      <c r="A542" s="9">
        <v>46198</v>
      </c>
      <c r="B542" t="s">
        <v>50</v>
      </c>
      <c r="C542">
        <v>4</v>
      </c>
      <c r="D542" s="10">
        <v>434500</v>
      </c>
      <c r="E542" s="10">
        <f t="shared" si="16"/>
        <v>500</v>
      </c>
      <c r="F542" s="11">
        <f t="shared" si="17"/>
        <v>1.152073732718894E-3</v>
      </c>
      <c r="G542">
        <v>1</v>
      </c>
      <c r="H542" s="9">
        <v>46198</v>
      </c>
    </row>
    <row r="543" spans="1:8">
      <c r="A543" s="9">
        <v>46199</v>
      </c>
      <c r="B543" t="s">
        <v>51</v>
      </c>
      <c r="C543">
        <v>5</v>
      </c>
      <c r="D543" s="10">
        <v>434500</v>
      </c>
      <c r="E543" s="10">
        <f t="shared" si="16"/>
        <v>0</v>
      </c>
      <c r="F543" s="11">
        <f t="shared" si="17"/>
        <v>0</v>
      </c>
      <c r="G543">
        <v>1</v>
      </c>
      <c r="H543" s="9">
        <v>46199</v>
      </c>
    </row>
    <row r="544" spans="1:8">
      <c r="A544" s="9">
        <v>46200</v>
      </c>
      <c r="B544" t="s">
        <v>52</v>
      </c>
      <c r="C544">
        <v>6</v>
      </c>
      <c r="D544" s="10">
        <v>434500</v>
      </c>
      <c r="E544" s="10">
        <f t="shared" si="16"/>
        <v>0</v>
      </c>
      <c r="F544" s="11">
        <f t="shared" si="17"/>
        <v>0</v>
      </c>
      <c r="G544">
        <v>1</v>
      </c>
      <c r="H544" s="9">
        <v>46200</v>
      </c>
    </row>
    <row r="545" spans="1:8">
      <c r="A545" s="9">
        <v>46201</v>
      </c>
      <c r="B545" t="s">
        <v>55</v>
      </c>
      <c r="C545">
        <v>7</v>
      </c>
      <c r="D545" s="10">
        <v>434500</v>
      </c>
      <c r="E545" s="10">
        <f t="shared" si="16"/>
        <v>0</v>
      </c>
      <c r="F545" s="11">
        <f t="shared" si="17"/>
        <v>0</v>
      </c>
      <c r="G545">
        <v>1</v>
      </c>
      <c r="H545" s="9">
        <v>46201</v>
      </c>
    </row>
    <row r="546" spans="1:8">
      <c r="A546" s="9">
        <v>46202</v>
      </c>
      <c r="B546" t="s">
        <v>53</v>
      </c>
      <c r="C546">
        <v>1</v>
      </c>
      <c r="D546" s="10">
        <v>431500</v>
      </c>
      <c r="E546" s="10">
        <f t="shared" si="16"/>
        <v>-3000</v>
      </c>
      <c r="F546" s="11">
        <f t="shared" si="17"/>
        <v>-6.9044879171461446E-3</v>
      </c>
      <c r="G546">
        <v>1</v>
      </c>
      <c r="H546" s="9">
        <v>46202</v>
      </c>
    </row>
    <row r="547" spans="1:8">
      <c r="A547" s="9">
        <v>46203</v>
      </c>
      <c r="B547" t="s">
        <v>54</v>
      </c>
      <c r="C547">
        <v>2</v>
      </c>
      <c r="D547" s="10">
        <v>431500</v>
      </c>
      <c r="E547" s="10">
        <f t="shared" si="16"/>
        <v>0</v>
      </c>
      <c r="F547" s="11">
        <f t="shared" si="17"/>
        <v>0</v>
      </c>
      <c r="G547">
        <v>1</v>
      </c>
      <c r="H547" s="9">
        <v>46203</v>
      </c>
    </row>
    <row r="548" spans="1:8">
      <c r="A548" s="9">
        <v>46204</v>
      </c>
      <c r="B548" t="s">
        <v>49</v>
      </c>
      <c r="C548">
        <v>3</v>
      </c>
      <c r="D548" s="10">
        <v>431600</v>
      </c>
      <c r="E548" s="10">
        <f t="shared" si="16"/>
        <v>100</v>
      </c>
      <c r="F548" s="11">
        <f t="shared" si="17"/>
        <v>2.3174971031286211E-4</v>
      </c>
      <c r="G548">
        <v>1</v>
      </c>
      <c r="H548" s="9">
        <v>46204</v>
      </c>
    </row>
    <row r="549" spans="1:8">
      <c r="A549" s="9">
        <v>46205</v>
      </c>
      <c r="B549" t="s">
        <v>50</v>
      </c>
      <c r="C549">
        <v>4</v>
      </c>
      <c r="D549" s="10">
        <v>437000</v>
      </c>
      <c r="E549" s="10">
        <f t="shared" si="16"/>
        <v>5400</v>
      </c>
      <c r="F549" s="11">
        <f t="shared" si="17"/>
        <v>1.2511584800741427E-2</v>
      </c>
      <c r="G549">
        <v>1</v>
      </c>
      <c r="H549" s="9">
        <v>46205</v>
      </c>
    </row>
    <row r="550" spans="1:8">
      <c r="A550" s="9">
        <v>46206</v>
      </c>
      <c r="B550" t="s">
        <v>51</v>
      </c>
      <c r="C550">
        <v>5</v>
      </c>
      <c r="D550" s="10">
        <v>441000</v>
      </c>
      <c r="E550" s="10">
        <f t="shared" si="16"/>
        <v>4000</v>
      </c>
      <c r="F550" s="11">
        <f t="shared" si="17"/>
        <v>9.1533180778032037E-3</v>
      </c>
      <c r="G550">
        <v>1</v>
      </c>
      <c r="H550" s="9">
        <v>46206</v>
      </c>
    </row>
    <row r="551" spans="1:8">
      <c r="A551" s="9">
        <v>46207</v>
      </c>
      <c r="B551" t="s">
        <v>52</v>
      </c>
      <c r="C551">
        <v>6</v>
      </c>
      <c r="D551" s="10">
        <v>442900</v>
      </c>
      <c r="E551" s="10">
        <f t="shared" si="16"/>
        <v>1900</v>
      </c>
      <c r="F551" s="11">
        <f t="shared" si="17"/>
        <v>4.3083900226757368E-3</v>
      </c>
      <c r="G551">
        <v>1</v>
      </c>
      <c r="H551" s="9">
        <v>46207</v>
      </c>
    </row>
    <row r="552" spans="1:8">
      <c r="A552" s="9">
        <v>46208</v>
      </c>
      <c r="B552" t="s">
        <v>55</v>
      </c>
      <c r="C552">
        <v>7</v>
      </c>
      <c r="D552" s="10">
        <v>442900</v>
      </c>
      <c r="E552" s="10">
        <f t="shared" si="16"/>
        <v>0</v>
      </c>
      <c r="F552" s="11">
        <f t="shared" si="17"/>
        <v>0</v>
      </c>
      <c r="G552">
        <v>1</v>
      </c>
      <c r="H552" s="9">
        <v>46208</v>
      </c>
    </row>
    <row r="553" spans="1:8">
      <c r="A553" s="9">
        <v>46209</v>
      </c>
      <c r="B553" t="s">
        <v>53</v>
      </c>
      <c r="C553">
        <v>1</v>
      </c>
      <c r="D553" s="10">
        <v>440800</v>
      </c>
      <c r="E553" s="10">
        <f t="shared" si="16"/>
        <v>-2100</v>
      </c>
      <c r="F553" s="11">
        <f t="shared" si="17"/>
        <v>-4.7414766312937461E-3</v>
      </c>
      <c r="G553">
        <v>1</v>
      </c>
      <c r="H553" s="9">
        <v>46209</v>
      </c>
    </row>
    <row r="554" spans="1:8">
      <c r="A554" s="9">
        <v>46210</v>
      </c>
      <c r="B554" t="s">
        <v>54</v>
      </c>
      <c r="C554">
        <v>2</v>
      </c>
      <c r="D554" s="10">
        <v>439800</v>
      </c>
      <c r="E554" s="10">
        <f t="shared" si="16"/>
        <v>-1000</v>
      </c>
      <c r="F554" s="11">
        <f t="shared" si="17"/>
        <v>-2.2686025408348459E-3</v>
      </c>
      <c r="G554">
        <v>1</v>
      </c>
      <c r="H554" s="9">
        <v>46210</v>
      </c>
    </row>
    <row r="555" spans="1:8">
      <c r="A555" s="9">
        <v>46211</v>
      </c>
      <c r="B555" t="s">
        <v>49</v>
      </c>
      <c r="C555">
        <v>3</v>
      </c>
      <c r="D555" s="10">
        <v>431300</v>
      </c>
      <c r="E555" s="10">
        <f t="shared" si="16"/>
        <v>-8500</v>
      </c>
      <c r="F555" s="11">
        <f t="shared" si="17"/>
        <v>-1.9326966803092316E-2</v>
      </c>
      <c r="G555">
        <v>1</v>
      </c>
      <c r="H555" s="9">
        <v>46211</v>
      </c>
    </row>
    <row r="556" spans="1:8">
      <c r="A556" s="9">
        <v>46212</v>
      </c>
      <c r="B556" t="s">
        <v>50</v>
      </c>
      <c r="C556">
        <v>4</v>
      </c>
      <c r="D556" s="10">
        <v>435000</v>
      </c>
      <c r="E556" s="10">
        <f t="shared" si="16"/>
        <v>3700</v>
      </c>
      <c r="F556" s="11">
        <f t="shared" si="17"/>
        <v>8.578715511245073E-3</v>
      </c>
      <c r="G556">
        <v>1</v>
      </c>
      <c r="H556" s="9">
        <v>46212</v>
      </c>
    </row>
    <row r="557" spans="1:8">
      <c r="A557" s="9">
        <v>46213</v>
      </c>
      <c r="B557" t="s">
        <v>51</v>
      </c>
      <c r="C557">
        <v>5</v>
      </c>
      <c r="D557" s="10">
        <v>433200</v>
      </c>
      <c r="E557" s="10">
        <f t="shared" si="16"/>
        <v>-1800</v>
      </c>
      <c r="F557" s="11">
        <f t="shared" si="17"/>
        <v>-4.1379310344827587E-3</v>
      </c>
      <c r="G557">
        <v>1</v>
      </c>
      <c r="H557" s="9">
        <v>46213</v>
      </c>
    </row>
    <row r="558" spans="1:8">
      <c r="A558" s="9">
        <v>46214</v>
      </c>
      <c r="B558" t="s">
        <v>52</v>
      </c>
      <c r="C558">
        <v>6</v>
      </c>
      <c r="D558" s="10">
        <v>433500</v>
      </c>
      <c r="E558" s="10">
        <f t="shared" si="16"/>
        <v>300</v>
      </c>
      <c r="F558" s="11">
        <f t="shared" si="17"/>
        <v>6.925207756232687E-4</v>
      </c>
      <c r="G558">
        <v>1</v>
      </c>
      <c r="H558" s="9">
        <v>46214</v>
      </c>
    </row>
    <row r="559" spans="1:8">
      <c r="A559" s="9">
        <v>46215</v>
      </c>
      <c r="B559" t="s">
        <v>55</v>
      </c>
      <c r="C559">
        <v>7</v>
      </c>
      <c r="D559" s="10">
        <v>433500</v>
      </c>
      <c r="E559" s="10">
        <f t="shared" si="16"/>
        <v>0</v>
      </c>
      <c r="F559" s="11">
        <f t="shared" si="17"/>
        <v>0</v>
      </c>
      <c r="G559">
        <v>1</v>
      </c>
      <c r="H559" s="9">
        <v>46215</v>
      </c>
    </row>
    <row r="560" spans="1:8">
      <c r="A560" s="9">
        <v>46216</v>
      </c>
      <c r="B560" t="s">
        <v>53</v>
      </c>
      <c r="C560">
        <v>1</v>
      </c>
      <c r="D560" s="10">
        <v>428500</v>
      </c>
      <c r="E560" s="10">
        <f t="shared" si="16"/>
        <v>-5000</v>
      </c>
      <c r="F560" s="11">
        <f t="shared" si="17"/>
        <v>-1.1534025374855825E-2</v>
      </c>
      <c r="G560">
        <v>1</v>
      </c>
      <c r="H560" s="9">
        <v>46216</v>
      </c>
    </row>
    <row r="561" spans="1:8">
      <c r="A561" s="9">
        <v>46217</v>
      </c>
      <c r="B561" t="s">
        <v>54</v>
      </c>
      <c r="C561">
        <v>2</v>
      </c>
      <c r="D561" s="10">
        <v>430600</v>
      </c>
      <c r="E561" s="10">
        <f t="shared" si="16"/>
        <v>2100</v>
      </c>
      <c r="F561" s="11">
        <f t="shared" si="17"/>
        <v>4.9008168028004664E-3</v>
      </c>
      <c r="G561">
        <v>1</v>
      </c>
      <c r="H561" s="9">
        <v>46217</v>
      </c>
    </row>
    <row r="562" spans="1:8">
      <c r="A562" s="9">
        <v>46218</v>
      </c>
      <c r="B562" t="s">
        <v>49</v>
      </c>
      <c r="C562">
        <v>3</v>
      </c>
      <c r="D562" s="10">
        <v>428000</v>
      </c>
      <c r="E562" s="10">
        <f t="shared" si="16"/>
        <v>-2600</v>
      </c>
      <c r="F562" s="11">
        <f t="shared" si="17"/>
        <v>-6.0380863910822107E-3</v>
      </c>
      <c r="G562">
        <v>1</v>
      </c>
      <c r="H562" s="9">
        <v>46218</v>
      </c>
    </row>
    <row r="563" spans="1:8">
      <c r="A563" s="9">
        <v>46219</v>
      </c>
      <c r="B563" t="s">
        <v>50</v>
      </c>
      <c r="C563">
        <v>4</v>
      </c>
      <c r="D563" s="10">
        <v>426000</v>
      </c>
      <c r="E563" s="10">
        <f t="shared" si="16"/>
        <v>-2000</v>
      </c>
      <c r="F563" s="11">
        <f t="shared" si="17"/>
        <v>-4.6728971962616819E-3</v>
      </c>
      <c r="G563">
        <v>1</v>
      </c>
      <c r="H563" s="9">
        <v>46219</v>
      </c>
    </row>
    <row r="564" spans="1:8">
      <c r="A564" s="9">
        <v>46220</v>
      </c>
      <c r="B564" t="s">
        <v>51</v>
      </c>
      <c r="C564">
        <v>5</v>
      </c>
      <c r="D564" s="10">
        <v>424500</v>
      </c>
      <c r="E564" s="10">
        <f t="shared" si="16"/>
        <v>-1500</v>
      </c>
      <c r="F564" s="11">
        <f t="shared" si="17"/>
        <v>-3.5211267605633804E-3</v>
      </c>
      <c r="G564">
        <v>1</v>
      </c>
      <c r="H564" s="9">
        <v>46220</v>
      </c>
    </row>
    <row r="565" spans="1:8">
      <c r="A565" s="9">
        <v>46221</v>
      </c>
      <c r="B565" t="s">
        <v>52</v>
      </c>
      <c r="C565">
        <v>6</v>
      </c>
      <c r="D565" s="10">
        <v>424200</v>
      </c>
      <c r="E565" s="10">
        <f t="shared" si="16"/>
        <v>-300</v>
      </c>
      <c r="F565" s="11">
        <f t="shared" si="17"/>
        <v>-7.0671378091872788E-4</v>
      </c>
      <c r="G565">
        <v>1</v>
      </c>
      <c r="H565" s="9">
        <v>46221</v>
      </c>
    </row>
    <row r="566" spans="1:8">
      <c r="A566" s="9">
        <v>46222</v>
      </c>
      <c r="B566" t="s">
        <v>55</v>
      </c>
      <c r="C566">
        <v>7</v>
      </c>
      <c r="D566" s="10">
        <v>424200</v>
      </c>
      <c r="E566" s="10">
        <f t="shared" si="16"/>
        <v>0</v>
      </c>
      <c r="F566" s="11">
        <f t="shared" si="17"/>
        <v>0</v>
      </c>
      <c r="G566">
        <v>1</v>
      </c>
      <c r="H566" s="9">
        <v>46222</v>
      </c>
    </row>
    <row r="567" spans="1:8">
      <c r="A567" s="9">
        <v>46223</v>
      </c>
      <c r="B567" t="s">
        <v>53</v>
      </c>
      <c r="C567">
        <v>1</v>
      </c>
      <c r="D567" s="10">
        <v>424500</v>
      </c>
      <c r="E567" s="10">
        <f t="shared" si="16"/>
        <v>300</v>
      </c>
      <c r="F567" s="11">
        <f t="shared" si="17"/>
        <v>7.0721357850070724E-4</v>
      </c>
      <c r="G567">
        <v>1</v>
      </c>
      <c r="H567" s="9">
        <v>46223</v>
      </c>
    </row>
    <row r="568" spans="1:8">
      <c r="A568" s="9">
        <v>46224</v>
      </c>
      <c r="B568" t="s">
        <v>54</v>
      </c>
      <c r="C568">
        <v>2</v>
      </c>
      <c r="D568" s="10">
        <v>427000</v>
      </c>
      <c r="E568" s="10">
        <f t="shared" si="16"/>
        <v>2500</v>
      </c>
      <c r="F568" s="11">
        <f t="shared" si="17"/>
        <v>5.8892815076560662E-3</v>
      </c>
      <c r="G568">
        <v>1</v>
      </c>
      <c r="H568" s="9">
        <v>46224</v>
      </c>
    </row>
    <row r="569" spans="1:8">
      <c r="A569" s="9">
        <v>46225</v>
      </c>
      <c r="B569" t="s">
        <v>49</v>
      </c>
      <c r="C569">
        <v>3</v>
      </c>
      <c r="D569" s="10">
        <v>432000</v>
      </c>
      <c r="E569" s="10">
        <f t="shared" si="16"/>
        <v>5000</v>
      </c>
      <c r="F569" s="11">
        <f t="shared" si="17"/>
        <v>1.1709601873536301E-2</v>
      </c>
      <c r="G569">
        <v>1</v>
      </c>
      <c r="H569" s="9">
        <v>46225</v>
      </c>
    </row>
    <row r="570" spans="1:8">
      <c r="A570" s="9">
        <v>46226</v>
      </c>
      <c r="B570" t="s">
        <v>50</v>
      </c>
      <c r="C570">
        <v>4</v>
      </c>
      <c r="D570" s="10">
        <v>430500</v>
      </c>
      <c r="E570" s="10">
        <f t="shared" si="16"/>
        <v>-1500</v>
      </c>
      <c r="F570" s="11">
        <f t="shared" si="17"/>
        <v>-3.472222222222222E-3</v>
      </c>
      <c r="G570">
        <v>1</v>
      </c>
      <c r="H570" s="9">
        <v>46226</v>
      </c>
    </row>
    <row r="571" spans="1:8">
      <c r="A571" s="9">
        <v>46227</v>
      </c>
      <c r="B571" t="s">
        <v>51</v>
      </c>
      <c r="C571">
        <v>5</v>
      </c>
      <c r="D571" s="10">
        <v>429500</v>
      </c>
      <c r="E571" s="10">
        <f t="shared" si="16"/>
        <v>-1000</v>
      </c>
      <c r="F571" s="11">
        <f t="shared" si="17"/>
        <v>-2.3228803716608595E-3</v>
      </c>
      <c r="G571">
        <v>1</v>
      </c>
      <c r="H571" s="9">
        <v>46227</v>
      </c>
    </row>
    <row r="572" spans="1:8">
      <c r="A572" s="9">
        <v>46228</v>
      </c>
      <c r="B572" t="s">
        <v>52</v>
      </c>
      <c r="C572">
        <v>6</v>
      </c>
      <c r="D572" s="10">
        <v>430200</v>
      </c>
      <c r="E572" s="10">
        <f t="shared" si="16"/>
        <v>700</v>
      </c>
      <c r="F572" s="11">
        <f t="shared" si="17"/>
        <v>1.6298020954598369E-3</v>
      </c>
      <c r="G572">
        <v>1</v>
      </c>
      <c r="H572" s="9">
        <v>46228</v>
      </c>
    </row>
    <row r="573" spans="1:8">
      <c r="A573" s="9">
        <v>46229</v>
      </c>
      <c r="B573" t="s">
        <v>55</v>
      </c>
      <c r="C573">
        <v>7</v>
      </c>
      <c r="D573" s="10">
        <v>430200</v>
      </c>
      <c r="E573" s="10">
        <f t="shared" si="16"/>
        <v>0</v>
      </c>
      <c r="F573" s="11">
        <f t="shared" si="17"/>
        <v>0</v>
      </c>
      <c r="G573">
        <v>1</v>
      </c>
      <c r="H573" s="9">
        <v>46229</v>
      </c>
    </row>
    <row r="574" spans="1:8">
      <c r="A574" s="9">
        <v>46230</v>
      </c>
      <c r="B574" t="s">
        <v>53</v>
      </c>
      <c r="C574">
        <v>1</v>
      </c>
      <c r="D574" s="10">
        <v>432500</v>
      </c>
      <c r="E574" s="10">
        <f t="shared" si="16"/>
        <v>2300</v>
      </c>
      <c r="F574" s="11">
        <f t="shared" si="17"/>
        <v>5.3463505346350538E-3</v>
      </c>
      <c r="G574">
        <v>1</v>
      </c>
      <c r="H574" s="9">
        <v>46230</v>
      </c>
    </row>
    <row r="575" spans="1:8">
      <c r="A575" s="9">
        <v>46231</v>
      </c>
      <c r="B575" t="s">
        <v>54</v>
      </c>
      <c r="C575">
        <v>2</v>
      </c>
      <c r="D575" s="10">
        <v>429400</v>
      </c>
      <c r="E575" s="10">
        <f t="shared" si="16"/>
        <v>-3100</v>
      </c>
      <c r="F575" s="11">
        <f t="shared" si="17"/>
        <v>-7.1676300578034681E-3</v>
      </c>
      <c r="G575">
        <v>1</v>
      </c>
      <c r="H575" s="9">
        <v>46231</v>
      </c>
    </row>
    <row r="576" spans="1:8">
      <c r="A576" s="9">
        <v>46232</v>
      </c>
      <c r="B576" t="s">
        <v>49</v>
      </c>
      <c r="C576">
        <v>3</v>
      </c>
      <c r="D576" s="10">
        <v>429000</v>
      </c>
      <c r="E576" s="10">
        <f t="shared" si="16"/>
        <v>-400</v>
      </c>
      <c r="F576" s="11">
        <f t="shared" si="17"/>
        <v>-9.3153237074988359E-4</v>
      </c>
      <c r="G576">
        <v>1</v>
      </c>
      <c r="H576" s="9">
        <v>46232</v>
      </c>
    </row>
    <row r="577" spans="1:8">
      <c r="A577" s="9">
        <v>46233</v>
      </c>
      <c r="B577" t="s">
        <v>50</v>
      </c>
      <c r="C577">
        <v>4</v>
      </c>
      <c r="D577" s="10">
        <v>429700</v>
      </c>
      <c r="E577" s="10">
        <f t="shared" si="16"/>
        <v>700</v>
      </c>
      <c r="F577" s="11">
        <f t="shared" si="17"/>
        <v>1.6317016317016317E-3</v>
      </c>
      <c r="G577">
        <v>1</v>
      </c>
      <c r="H577" s="9">
        <v>46233</v>
      </c>
    </row>
    <row r="578" spans="1:8">
      <c r="A578" s="9">
        <v>46234</v>
      </c>
      <c r="B578" t="s">
        <v>51</v>
      </c>
      <c r="C578">
        <v>5</v>
      </c>
      <c r="D578" s="10">
        <v>428500</v>
      </c>
      <c r="E578" s="10">
        <f t="shared" si="16"/>
        <v>-1200</v>
      </c>
      <c r="F578" s="11">
        <f t="shared" si="17"/>
        <v>-2.7926460321154294E-3</v>
      </c>
      <c r="G578">
        <v>1</v>
      </c>
      <c r="H578" s="9">
        <v>46234</v>
      </c>
    </row>
    <row r="579" spans="1:8">
      <c r="A579" s="9">
        <v>46235</v>
      </c>
      <c r="B579" t="s">
        <v>52</v>
      </c>
      <c r="C579">
        <v>6</v>
      </c>
      <c r="D579" s="10">
        <v>428600</v>
      </c>
      <c r="E579" s="10">
        <f t="shared" ref="E579:E642" si="18">D579-D578</f>
        <v>100</v>
      </c>
      <c r="F579" s="11">
        <f t="shared" ref="F579:F642" si="19">IFERROR(E579/D578,0)</f>
        <v>2.3337222870478414E-4</v>
      </c>
      <c r="G579">
        <v>1</v>
      </c>
      <c r="H579" s="9">
        <v>46235</v>
      </c>
    </row>
    <row r="580" spans="1:8">
      <c r="A580" s="9">
        <v>46236</v>
      </c>
      <c r="B580" t="s">
        <v>55</v>
      </c>
      <c r="C580">
        <v>7</v>
      </c>
      <c r="D580" s="10">
        <v>428600</v>
      </c>
      <c r="E580" s="10">
        <f t="shared" si="18"/>
        <v>0</v>
      </c>
      <c r="F580" s="11">
        <f t="shared" si="19"/>
        <v>0</v>
      </c>
      <c r="G580">
        <v>1</v>
      </c>
      <c r="H580" s="9">
        <v>46236</v>
      </c>
    </row>
    <row r="581" spans="1:8">
      <c r="A581" s="9">
        <v>46237</v>
      </c>
      <c r="B581" t="s">
        <v>53</v>
      </c>
      <c r="C581">
        <v>1</v>
      </c>
      <c r="D581" s="10">
        <v>428300</v>
      </c>
      <c r="E581" s="10">
        <f t="shared" si="18"/>
        <v>-300</v>
      </c>
      <c r="F581" s="11">
        <f t="shared" si="19"/>
        <v>-6.9995333644423707E-4</v>
      </c>
      <c r="G581">
        <v>1</v>
      </c>
      <c r="H581" s="9">
        <v>46237</v>
      </c>
    </row>
    <row r="582" spans="1:8">
      <c r="A582" s="9">
        <v>46238</v>
      </c>
      <c r="B582" t="s">
        <v>54</v>
      </c>
      <c r="C582">
        <v>2</v>
      </c>
      <c r="D582" s="10">
        <v>430500</v>
      </c>
      <c r="E582" s="10">
        <f t="shared" si="18"/>
        <v>2200</v>
      </c>
      <c r="F582" s="11">
        <f t="shared" si="19"/>
        <v>5.1365865047863649E-3</v>
      </c>
      <c r="G582">
        <v>1</v>
      </c>
      <c r="H582" s="9">
        <v>46238</v>
      </c>
    </row>
    <row r="583" spans="1:8">
      <c r="A583" s="9">
        <v>46239</v>
      </c>
      <c r="B583" t="s">
        <v>49</v>
      </c>
      <c r="C583">
        <v>3</v>
      </c>
      <c r="D583" s="10">
        <v>433200</v>
      </c>
      <c r="E583" s="10">
        <f t="shared" si="18"/>
        <v>2700</v>
      </c>
      <c r="F583" s="11">
        <f t="shared" si="19"/>
        <v>6.2717770034843206E-3</v>
      </c>
      <c r="G583">
        <v>1</v>
      </c>
      <c r="H583" s="9">
        <v>46239</v>
      </c>
    </row>
    <row r="584" spans="1:8">
      <c r="A584" s="9">
        <v>46240</v>
      </c>
      <c r="B584" t="s">
        <v>50</v>
      </c>
      <c r="C584">
        <v>4</v>
      </c>
      <c r="D584" s="10">
        <v>437000</v>
      </c>
      <c r="E584" s="10">
        <f t="shared" si="18"/>
        <v>3800</v>
      </c>
      <c r="F584" s="11">
        <f t="shared" si="19"/>
        <v>8.771929824561403E-3</v>
      </c>
      <c r="G584">
        <v>1</v>
      </c>
      <c r="H584" s="9">
        <v>46240</v>
      </c>
    </row>
    <row r="585" spans="1:8">
      <c r="A585" s="9">
        <v>46241</v>
      </c>
      <c r="B585" t="s">
        <v>51</v>
      </c>
      <c r="C585">
        <v>5</v>
      </c>
      <c r="D585" s="10">
        <v>437000</v>
      </c>
      <c r="E585" s="10">
        <f t="shared" si="18"/>
        <v>0</v>
      </c>
      <c r="F585" s="11">
        <f t="shared" si="19"/>
        <v>0</v>
      </c>
      <c r="G585">
        <v>1</v>
      </c>
      <c r="H585" s="9">
        <v>46241</v>
      </c>
    </row>
    <row r="586" spans="1:8">
      <c r="A586" s="9">
        <v>46242</v>
      </c>
      <c r="B586" t="s">
        <v>52</v>
      </c>
      <c r="C586">
        <v>6</v>
      </c>
      <c r="D586" s="10">
        <v>449500</v>
      </c>
      <c r="E586" s="10">
        <f t="shared" si="18"/>
        <v>12500</v>
      </c>
      <c r="F586" s="11">
        <f t="shared" si="19"/>
        <v>2.8604118993135013E-2</v>
      </c>
      <c r="G586">
        <v>1</v>
      </c>
      <c r="H586" s="9">
        <v>46242</v>
      </c>
    </row>
    <row r="587" spans="1:8">
      <c r="A587" s="9">
        <v>46243</v>
      </c>
      <c r="B587" t="s">
        <v>55</v>
      </c>
      <c r="C587">
        <v>7</v>
      </c>
      <c r="D587" s="10">
        <v>449500</v>
      </c>
      <c r="E587" s="10">
        <f t="shared" si="18"/>
        <v>0</v>
      </c>
      <c r="F587" s="11">
        <f t="shared" si="19"/>
        <v>0</v>
      </c>
      <c r="G587">
        <v>1</v>
      </c>
      <c r="H587" s="9">
        <v>46243</v>
      </c>
    </row>
    <row r="588" spans="1:8">
      <c r="A588" s="9">
        <v>46244</v>
      </c>
      <c r="B588" t="s">
        <v>53</v>
      </c>
      <c r="C588">
        <v>1</v>
      </c>
      <c r="D588" s="10">
        <v>447500</v>
      </c>
      <c r="E588" s="10">
        <f t="shared" si="18"/>
        <v>-2000</v>
      </c>
      <c r="F588" s="11">
        <f t="shared" si="19"/>
        <v>-4.4493882091212458E-3</v>
      </c>
      <c r="G588">
        <v>1</v>
      </c>
      <c r="H588" s="9">
        <v>46244</v>
      </c>
    </row>
    <row r="589" spans="1:8">
      <c r="A589" s="9">
        <v>46245</v>
      </c>
      <c r="B589" t="s">
        <v>54</v>
      </c>
      <c r="C589">
        <v>2</v>
      </c>
      <c r="D589" s="10">
        <v>453300</v>
      </c>
      <c r="E589" s="10">
        <f t="shared" si="18"/>
        <v>5800</v>
      </c>
      <c r="F589" s="11">
        <f t="shared" si="19"/>
        <v>1.2960893854748603E-2</v>
      </c>
      <c r="G589">
        <v>1</v>
      </c>
      <c r="H589" s="9">
        <v>46245</v>
      </c>
    </row>
    <row r="590" spans="1:8">
      <c r="A590" s="9">
        <v>46246</v>
      </c>
      <c r="B590" t="s">
        <v>49</v>
      </c>
      <c r="C590">
        <v>3</v>
      </c>
      <c r="D590" s="10">
        <v>455000</v>
      </c>
      <c r="E590" s="10">
        <f t="shared" si="18"/>
        <v>1700</v>
      </c>
      <c r="F590" s="11">
        <f t="shared" si="19"/>
        <v>3.7502757555702626E-3</v>
      </c>
      <c r="G590">
        <v>1</v>
      </c>
      <c r="H590" s="9">
        <v>46246</v>
      </c>
    </row>
    <row r="591" spans="1:8">
      <c r="A591" s="9">
        <v>46247</v>
      </c>
      <c r="B591" t="s">
        <v>50</v>
      </c>
      <c r="C591">
        <v>4</v>
      </c>
      <c r="D591" s="10">
        <v>454000</v>
      </c>
      <c r="E591" s="10">
        <f t="shared" si="18"/>
        <v>-1000</v>
      </c>
      <c r="F591" s="11">
        <f t="shared" si="19"/>
        <v>-2.1978021978021978E-3</v>
      </c>
      <c r="G591">
        <v>1</v>
      </c>
      <c r="H591" s="9">
        <v>46247</v>
      </c>
    </row>
    <row r="592" spans="1:8">
      <c r="A592" s="9">
        <v>46248</v>
      </c>
      <c r="B592" t="s">
        <v>51</v>
      </c>
      <c r="C592">
        <v>5</v>
      </c>
      <c r="D592" s="10">
        <v>454000</v>
      </c>
      <c r="E592" s="10">
        <f t="shared" si="18"/>
        <v>0</v>
      </c>
      <c r="F592" s="11">
        <f t="shared" si="19"/>
        <v>0</v>
      </c>
      <c r="G592">
        <v>1</v>
      </c>
      <c r="H592" s="9">
        <v>46248</v>
      </c>
    </row>
    <row r="593" spans="1:8">
      <c r="A593" s="9">
        <v>46249</v>
      </c>
      <c r="B593" t="s">
        <v>52</v>
      </c>
      <c r="C593">
        <v>6</v>
      </c>
      <c r="D593" s="10">
        <v>453700</v>
      </c>
      <c r="E593" s="10">
        <f t="shared" si="18"/>
        <v>-300</v>
      </c>
      <c r="F593" s="11">
        <f t="shared" si="19"/>
        <v>-6.6079295154185019E-4</v>
      </c>
      <c r="G593">
        <v>1</v>
      </c>
      <c r="H593" s="9">
        <v>46249</v>
      </c>
    </row>
    <row r="594" spans="1:8">
      <c r="A594" s="9">
        <v>46250</v>
      </c>
      <c r="B594" t="s">
        <v>55</v>
      </c>
      <c r="C594">
        <v>7</v>
      </c>
      <c r="D594" s="10">
        <v>453700</v>
      </c>
      <c r="E594" s="10">
        <f t="shared" si="18"/>
        <v>0</v>
      </c>
      <c r="F594" s="11">
        <f t="shared" si="19"/>
        <v>0</v>
      </c>
      <c r="G594">
        <v>1</v>
      </c>
      <c r="H594" s="9">
        <v>46250</v>
      </c>
    </row>
    <row r="595" spans="1:8">
      <c r="A595" s="9">
        <v>46251</v>
      </c>
      <c r="B595" t="s">
        <v>53</v>
      </c>
      <c r="C595">
        <v>1</v>
      </c>
      <c r="D595" s="10">
        <v>453700</v>
      </c>
      <c r="E595" s="10">
        <f t="shared" si="18"/>
        <v>0</v>
      </c>
      <c r="F595" s="11">
        <f t="shared" si="19"/>
        <v>0</v>
      </c>
      <c r="G595">
        <v>1</v>
      </c>
      <c r="H595" s="9">
        <v>46251</v>
      </c>
    </row>
    <row r="596" spans="1:8">
      <c r="A596" s="9">
        <v>46252</v>
      </c>
      <c r="B596" t="s">
        <v>54</v>
      </c>
      <c r="C596">
        <v>2</v>
      </c>
      <c r="D596" s="10">
        <v>455800</v>
      </c>
      <c r="E596" s="10">
        <f t="shared" si="18"/>
        <v>2100</v>
      </c>
      <c r="F596" s="11">
        <f t="shared" si="19"/>
        <v>4.6286092131364335E-3</v>
      </c>
      <c r="G596">
        <v>1</v>
      </c>
      <c r="H596" s="9">
        <v>46252</v>
      </c>
    </row>
    <row r="597" spans="1:8">
      <c r="A597" s="9">
        <v>46253</v>
      </c>
      <c r="B597" t="s">
        <v>49</v>
      </c>
      <c r="C597">
        <v>3</v>
      </c>
      <c r="D597" s="10">
        <v>461500</v>
      </c>
      <c r="E597" s="10">
        <f t="shared" si="18"/>
        <v>5700</v>
      </c>
      <c r="F597" s="11">
        <f t="shared" si="19"/>
        <v>1.2505484861781484E-2</v>
      </c>
      <c r="G597">
        <v>1</v>
      </c>
      <c r="H597" s="9">
        <v>46253</v>
      </c>
    </row>
    <row r="598" spans="1:8">
      <c r="A598" s="9">
        <v>46254</v>
      </c>
      <c r="B598" t="s">
        <v>50</v>
      </c>
      <c r="C598">
        <v>4</v>
      </c>
      <c r="D598" s="10">
        <v>462000</v>
      </c>
      <c r="E598" s="10">
        <f t="shared" si="18"/>
        <v>500</v>
      </c>
      <c r="F598" s="11">
        <f t="shared" si="19"/>
        <v>1.0834236186348862E-3</v>
      </c>
      <c r="G598">
        <v>1</v>
      </c>
      <c r="H598" s="9">
        <v>46254</v>
      </c>
    </row>
    <row r="599" spans="1:8">
      <c r="A599" s="9">
        <v>46255</v>
      </c>
      <c r="B599" t="s">
        <v>51</v>
      </c>
      <c r="C599">
        <v>5</v>
      </c>
      <c r="D599" s="10">
        <v>473000</v>
      </c>
      <c r="E599" s="10">
        <f t="shared" si="18"/>
        <v>11000</v>
      </c>
      <c r="F599" s="11">
        <f t="shared" si="19"/>
        <v>2.3809523809523808E-2</v>
      </c>
      <c r="G599">
        <v>1</v>
      </c>
      <c r="H599" s="9">
        <v>46255</v>
      </c>
    </row>
    <row r="600" spans="1:8">
      <c r="A600" s="9">
        <v>46256</v>
      </c>
      <c r="B600" t="s">
        <v>52</v>
      </c>
      <c r="C600">
        <v>6</v>
      </c>
      <c r="D600" s="10">
        <v>481500</v>
      </c>
      <c r="E600" s="10">
        <f t="shared" si="18"/>
        <v>8500</v>
      </c>
      <c r="F600" s="11">
        <f t="shared" si="19"/>
        <v>1.7970401691331923E-2</v>
      </c>
      <c r="G600">
        <v>1</v>
      </c>
      <c r="H600" s="9">
        <v>46256</v>
      </c>
    </row>
    <row r="601" spans="1:8">
      <c r="A601" s="9">
        <v>46257</v>
      </c>
      <c r="B601" t="s">
        <v>55</v>
      </c>
      <c r="C601">
        <v>7</v>
      </c>
      <c r="D601" s="10">
        <v>481500</v>
      </c>
      <c r="E601" s="10">
        <f t="shared" si="18"/>
        <v>0</v>
      </c>
      <c r="F601" s="11">
        <f t="shared" si="19"/>
        <v>0</v>
      </c>
      <c r="G601">
        <v>1</v>
      </c>
      <c r="H601" s="9">
        <v>46257</v>
      </c>
    </row>
    <row r="602" spans="1:8">
      <c r="A602" s="9">
        <v>46258</v>
      </c>
      <c r="B602" t="s">
        <v>53</v>
      </c>
      <c r="C602">
        <v>1</v>
      </c>
      <c r="D602" s="10">
        <v>484000</v>
      </c>
      <c r="E602" s="10">
        <f t="shared" si="18"/>
        <v>2500</v>
      </c>
      <c r="F602" s="11">
        <f t="shared" si="19"/>
        <v>5.1921079958463139E-3</v>
      </c>
      <c r="G602">
        <v>1</v>
      </c>
      <c r="H602" s="9">
        <v>46258</v>
      </c>
    </row>
    <row r="603" spans="1:8">
      <c r="A603" s="9">
        <v>46259</v>
      </c>
      <c r="B603" t="s">
        <v>54</v>
      </c>
      <c r="C603">
        <v>2</v>
      </c>
      <c r="D603" s="10">
        <v>484000</v>
      </c>
      <c r="E603" s="10">
        <f t="shared" si="18"/>
        <v>0</v>
      </c>
      <c r="F603" s="11">
        <f t="shared" si="19"/>
        <v>0</v>
      </c>
      <c r="G603">
        <v>1</v>
      </c>
      <c r="H603" s="9">
        <v>46259</v>
      </c>
    </row>
    <row r="604" spans="1:8">
      <c r="A604" s="9">
        <v>46260</v>
      </c>
      <c r="B604" t="s">
        <v>49</v>
      </c>
      <c r="C604">
        <v>3</v>
      </c>
      <c r="D604" s="10">
        <v>484000</v>
      </c>
      <c r="E604" s="10">
        <f t="shared" si="18"/>
        <v>0</v>
      </c>
      <c r="F604" s="11">
        <f t="shared" si="19"/>
        <v>0</v>
      </c>
      <c r="G604">
        <v>1</v>
      </c>
      <c r="H604" s="9">
        <v>46260</v>
      </c>
    </row>
    <row r="605" spans="1:8">
      <c r="A605" s="9">
        <v>46261</v>
      </c>
      <c r="B605" t="s">
        <v>50</v>
      </c>
      <c r="C605">
        <v>4</v>
      </c>
      <c r="D605" s="10">
        <v>478000</v>
      </c>
      <c r="E605" s="10">
        <f t="shared" si="18"/>
        <v>-6000</v>
      </c>
      <c r="F605" s="11">
        <f t="shared" si="19"/>
        <v>-1.2396694214876033E-2</v>
      </c>
      <c r="G605">
        <v>1</v>
      </c>
      <c r="H605" s="9">
        <v>46261</v>
      </c>
    </row>
    <row r="606" spans="1:8">
      <c r="A606" s="9">
        <v>46262</v>
      </c>
      <c r="B606" t="s">
        <v>51</v>
      </c>
      <c r="C606">
        <v>5</v>
      </c>
      <c r="D606" s="10">
        <v>477700</v>
      </c>
      <c r="E606" s="10">
        <f t="shared" si="18"/>
        <v>-300</v>
      </c>
      <c r="F606" s="11">
        <f t="shared" si="19"/>
        <v>-6.2761506276150627E-4</v>
      </c>
      <c r="G606">
        <v>1</v>
      </c>
      <c r="H606" s="9">
        <v>46262</v>
      </c>
    </row>
    <row r="607" spans="1:8">
      <c r="A607" s="9">
        <v>46263</v>
      </c>
      <c r="B607" t="s">
        <v>52</v>
      </c>
      <c r="C607">
        <v>6</v>
      </c>
      <c r="D607" s="10">
        <v>465000</v>
      </c>
      <c r="E607" s="10">
        <f t="shared" si="18"/>
        <v>-12700</v>
      </c>
      <c r="F607" s="11">
        <f t="shared" si="19"/>
        <v>-2.658572325727444E-2</v>
      </c>
      <c r="G607">
        <v>1</v>
      </c>
      <c r="H607" s="9">
        <v>46263</v>
      </c>
    </row>
    <row r="608" spans="1:8">
      <c r="A608" s="9">
        <v>46264</v>
      </c>
      <c r="B608" t="s">
        <v>55</v>
      </c>
      <c r="C608">
        <v>7</v>
      </c>
      <c r="D608" s="10">
        <v>465000</v>
      </c>
      <c r="E608" s="10">
        <f t="shared" si="18"/>
        <v>0</v>
      </c>
      <c r="F608" s="11">
        <f t="shared" si="19"/>
        <v>0</v>
      </c>
      <c r="G608">
        <v>1</v>
      </c>
      <c r="H608" s="9">
        <v>46264</v>
      </c>
    </row>
    <row r="609" spans="1:8">
      <c r="A609" s="9">
        <v>46265</v>
      </c>
      <c r="B609" t="s">
        <v>53</v>
      </c>
      <c r="C609">
        <v>1</v>
      </c>
      <c r="D609" s="10">
        <v>455500</v>
      </c>
      <c r="E609" s="10">
        <f t="shared" si="18"/>
        <v>-9500</v>
      </c>
      <c r="F609" s="11">
        <f t="shared" si="19"/>
        <v>-2.0430107526881722E-2</v>
      </c>
      <c r="G609">
        <v>1</v>
      </c>
      <c r="H609" s="9">
        <v>46265</v>
      </c>
    </row>
    <row r="610" spans="1:8">
      <c r="A610" s="9">
        <v>46266</v>
      </c>
      <c r="B610" t="s">
        <v>54</v>
      </c>
      <c r="C610">
        <v>2</v>
      </c>
      <c r="D610" s="10">
        <v>450000</v>
      </c>
      <c r="E610" s="10">
        <f t="shared" si="18"/>
        <v>-5500</v>
      </c>
      <c r="F610" s="11">
        <f t="shared" si="19"/>
        <v>-1.2074643249176729E-2</v>
      </c>
      <c r="G610">
        <v>1</v>
      </c>
      <c r="H610" s="9">
        <v>46266</v>
      </c>
    </row>
  </sheetData>
  <conditionalFormatting sqref="E2:E6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G2:G610">
    <cfRule type="expression" dxfId="0" priority="3">
      <formula>G2=0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Summary</vt:lpstr>
      <vt:lpstr>Daily_Regression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2026-09-14T16:32:52Z</dcterms:modified>
</cp:coreProperties>
</file>